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9566eb8761d6a75/Desktop/School/Management Science '25/"/>
    </mc:Choice>
  </mc:AlternateContent>
  <xr:revisionPtr revIDLastSave="95" documentId="13_ncr:1_{35043C3D-20ED-4214-8A59-16E5A2627CED}" xr6:coauthVersionLast="47" xr6:coauthVersionMax="47" xr10:uidLastSave="{35F1E550-CA8E-4AFF-8BAE-3773536AEC70}"/>
  <bookViews>
    <workbookView xWindow="1110" yWindow="3015" windowWidth="16200" windowHeight="9308" firstSheet="3" activeTab="3" xr2:uid="{00000000-000D-0000-FFFF-FFFF00000000}"/>
  </bookViews>
  <sheets>
    <sheet name="NAIVE" sheetId="13" r:id="rId1"/>
    <sheet name="AVERAGE" sheetId="2" r:id="rId2"/>
    <sheet name="WEIGHTED AVERAGE - SPAN OF 5" sheetId="12" r:id="rId3"/>
    <sheet name="WEIGHTED AVERAGE - SPAN OF  3" sheetId="14" r:id="rId4"/>
    <sheet name="_STDS_DG119840E0" sheetId="11" state="hidden" r:id="rId5"/>
  </sheets>
  <definedNames>
    <definedName name="STWBD_StatToolsAutocorrelation_CreateChart" hidden="1">"TRUE"</definedName>
    <definedName name="STWBD_StatToolsAutocorrelation_HasDefaultInfo" hidden="1">"TRUE"</definedName>
    <definedName name="STWBD_StatToolsAutocorrelation_NumLags" hidden="1">"-1"</definedName>
    <definedName name="STWBD_StatToolsAutocorrelation_VariableList" hidden="1">1</definedName>
    <definedName name="STWBD_StatToolsAutocorrelation_VariableList_1" hidden="1">"U_x0001_VGC56B4BE837A895_x0001_"</definedName>
    <definedName name="STWBD_StatToolsAutocorrelation_VarSelectorDefaultDataSet" hidden="1">"DG119840E0"</definedName>
    <definedName name="STWBD_StatToolsRunsTest_CutOffType" hidden="1">" 0"</definedName>
    <definedName name="STWBD_StatToolsRunsTest_CutOffValue" hidden="1">" 0"</definedName>
    <definedName name="STWBD_StatToolsRunsTest_HasDefaultInfo" hidden="1">"TRUE"</definedName>
    <definedName name="STWBD_StatToolsRunsTest_VariableList" hidden="1">1</definedName>
    <definedName name="STWBD_StatToolsRunsTest_VariableList_1" hidden="1">"U_x0001_VGC56B4BE837A895_x0001_"</definedName>
    <definedName name="STWBD_StatToolsRunsTest_VarSelectorDefaultDataSet" hidden="1">"DG119840E0"</definedName>
    <definedName name="STWBD_StatToolsTimeSeriesGraph_DefaultUseLabelVariable" hidden="1">"FALSE"</definedName>
    <definedName name="STWBD_StatToolsTimeSeriesGraph_HasDefaultInfo" hidden="1">"TRUE"</definedName>
    <definedName name="STWBD_StatToolsTimeSeriesGraph_SingleGraph" hidden="1">"FALSE"</definedName>
    <definedName name="STWBD_StatToolsTimeSeriesGraph_TwoVerticalAxes" hidden="1">"FALSE"</definedName>
    <definedName name="STWBD_StatToolsTimeSeriesGraph_VariableList" hidden="1">1</definedName>
    <definedName name="STWBD_StatToolsTimeSeriesGraph_VariableList_1" hidden="1">"U_x0001_VGC56B4BE837A895_x0001_"</definedName>
    <definedName name="STWBD_StatToolsTimeSeriesGraph_VarSelectorDefaultDataSet" hidden="1">"DG119840E0"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2" l="1"/>
  <c r="C38" i="2"/>
  <c r="I4" i="14"/>
  <c r="I3" i="14"/>
  <c r="I2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5" i="14"/>
  <c r="I4" i="12"/>
  <c r="I3" i="12"/>
  <c r="I2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7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8" i="12"/>
  <c r="C7" i="12"/>
  <c r="I4" i="2"/>
  <c r="I3" i="2"/>
  <c r="I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2" i="2"/>
  <c r="I4" i="13"/>
  <c r="I3" i="13"/>
  <c r="I2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6" i="13"/>
  <c r="C5" i="13"/>
  <c r="C4" i="13"/>
  <c r="C3" i="13"/>
  <c r="C38" i="13"/>
  <c r="B9" i="11"/>
  <c r="B19" i="11"/>
  <c r="B16" i="11"/>
  <c r="B13" i="11"/>
  <c r="B7" i="11"/>
  <c r="B3" i="11"/>
  <c r="J3" i="13"/>
  <c r="J4" i="13"/>
  <c r="J2" i="13"/>
</calcChain>
</file>

<file path=xl/sharedStrings.xml><?xml version="1.0" encoding="utf-8"?>
<sst xmlns="http://schemas.openxmlformats.org/spreadsheetml/2006/main" count="76" uniqueCount="49">
  <si>
    <t>Month</t>
  </si>
  <si>
    <t>StatTools Version that generated sheet, Major</t>
  </si>
  <si>
    <t>StatTools Version that generated sheet, Minor</t>
  </si>
  <si>
    <t>StatTools Version that generated sheet, Revision</t>
  </si>
  <si>
    <t>Min. StatTools Version to Read Sheet, Major (note ST versions before 1.1.1 don't perform forward compatibility check)</t>
  </si>
  <si>
    <t>Min. StatTools Version to Read Sheet, Minor</t>
  </si>
  <si>
    <t>Min. StatTools Version to Read Sheet, Revision</t>
  </si>
  <si>
    <t>Min. StatTools version to not put up warning about extra info, Major</t>
  </si>
  <si>
    <t>Min. StatTools version to not put up warning about extra info, Minor</t>
  </si>
  <si>
    <t>Min. StatTools version to not put up warning about extra info, Revision</t>
  </si>
  <si>
    <t>Name</t>
  </si>
  <si>
    <t>GUID</t>
  </si>
  <si>
    <t>DG119840E0</t>
  </si>
  <si>
    <t>Format Range</t>
  </si>
  <si>
    <t>Variable Layout</t>
  </si>
  <si>
    <t>Columns</t>
  </si>
  <si>
    <t>Variable Names In Cells</t>
  </si>
  <si>
    <t>Variable Names In 2nd Cells</t>
  </si>
  <si>
    <t>Data Set Ranges</t>
  </si>
  <si>
    <t>Data Sheet Format</t>
  </si>
  <si>
    <t>Formula Eval Cell</t>
  </si>
  <si>
    <t>Num Stored Vars</t>
  </si>
  <si>
    <t>1 : Info</t>
  </si>
  <si>
    <t>VG297A73602DB5626</t>
  </si>
  <si>
    <t>var1</t>
  </si>
  <si>
    <t>ST_Month</t>
  </si>
  <si>
    <t>1 : Ranges</t>
  </si>
  <si>
    <t>1 : MultiRefs</t>
  </si>
  <si>
    <t>2 : Info</t>
  </si>
  <si>
    <t>VG2DB5F75F39F30DF8</t>
  </si>
  <si>
    <t>var2</t>
  </si>
  <si>
    <t>ST_Year</t>
  </si>
  <si>
    <t>2 : Ranges</t>
  </si>
  <si>
    <t>2 : MultiRefs</t>
  </si>
  <si>
    <t>3 : Info</t>
  </si>
  <si>
    <t>VGC56B4BE837A895</t>
  </si>
  <si>
    <t>var3</t>
  </si>
  <si>
    <t>ST_Employees</t>
  </si>
  <si>
    <t>3 : Ranges</t>
  </si>
  <si>
    <t>3 : MultiRefs</t>
  </si>
  <si>
    <t>Employee Data</t>
  </si>
  <si>
    <t>Employees (Y)</t>
  </si>
  <si>
    <t>Forecast (F)</t>
  </si>
  <si>
    <t>Absolute Error</t>
  </si>
  <si>
    <t>Squared Error</t>
  </si>
  <si>
    <t>MAE</t>
  </si>
  <si>
    <t>MSE</t>
  </si>
  <si>
    <t>RMSE</t>
  </si>
  <si>
    <t>Error (Y-F)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</si>
</sst>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2" fillId="0" borderId="0" xfId="1" applyFont="1"/>
    <xf numFmtId="0" fontId="2" fillId="0" borderId="0" xfId="1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7" fontId="2" fillId="0" borderId="0" xfId="1" applyNumberFormat="1" applyFont="1" applyAlignment="1">
      <alignment horizontal="left"/>
    </xf>
    <xf numFmtId="0" fontId="4" fillId="0" borderId="0" xfId="1" applyFont="1" applyAlignment="1">
      <alignment horizontal="left"/>
    </xf>
    <xf numFmtId="0" fontId="4" fillId="0" borderId="0" xfId="1" applyFont="1" applyAlignment="1">
      <alignment horizontal="right"/>
    </xf>
    <xf numFmtId="0" fontId="4" fillId="0" borderId="0" xfId="1" applyFont="1"/>
    <xf numFmtId="0" fontId="2" fillId="2" borderId="0" xfId="1" applyFont="1" applyFill="1"/>
    <xf numFmtId="2" fontId="2" fillId="2" borderId="0" xfId="1" applyNumberFormat="1" applyFont="1" applyFill="1"/>
  </cellXfs>
  <cellStyles count="3">
    <cellStyle name="Normal" xfId="0" builtinId="0" customBuiltin="1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NAIVE!$B$1</c:f>
              <c:strCache>
                <c:ptCount val="1"/>
                <c:pt idx="0">
                  <c:v>Employees (Y)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NAIVE!$A$2:$A$38</c:f>
              <c:numCache>
                <c:formatCode>mmm\-yy</c:formatCode>
                <c:ptCount val="37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</c:numCache>
            </c:numRef>
          </c:cat>
          <c:val>
            <c:numRef>
              <c:f>NAIVE!$B$2:$B$38</c:f>
              <c:numCache>
                <c:formatCode>General</c:formatCode>
                <c:ptCount val="37"/>
                <c:pt idx="0">
                  <c:v>350</c:v>
                </c:pt>
                <c:pt idx="1">
                  <c:v>348</c:v>
                </c:pt>
                <c:pt idx="2">
                  <c:v>353</c:v>
                </c:pt>
                <c:pt idx="3">
                  <c:v>353</c:v>
                </c:pt>
                <c:pt idx="4">
                  <c:v>349</c:v>
                </c:pt>
                <c:pt idx="5">
                  <c:v>377</c:v>
                </c:pt>
                <c:pt idx="6">
                  <c:v>375</c:v>
                </c:pt>
                <c:pt idx="7">
                  <c:v>403</c:v>
                </c:pt>
                <c:pt idx="8">
                  <c:v>412</c:v>
                </c:pt>
                <c:pt idx="9">
                  <c:v>409</c:v>
                </c:pt>
                <c:pt idx="10">
                  <c:v>398</c:v>
                </c:pt>
                <c:pt idx="11">
                  <c:v>357</c:v>
                </c:pt>
                <c:pt idx="12">
                  <c:v>349</c:v>
                </c:pt>
                <c:pt idx="13">
                  <c:v>351</c:v>
                </c:pt>
                <c:pt idx="14">
                  <c:v>350</c:v>
                </c:pt>
                <c:pt idx="15">
                  <c:v>355</c:v>
                </c:pt>
                <c:pt idx="16">
                  <c:v>346</c:v>
                </c:pt>
                <c:pt idx="17">
                  <c:v>377</c:v>
                </c:pt>
                <c:pt idx="18">
                  <c:v>372</c:v>
                </c:pt>
                <c:pt idx="19">
                  <c:v>405</c:v>
                </c:pt>
                <c:pt idx="20">
                  <c:v>416</c:v>
                </c:pt>
                <c:pt idx="21">
                  <c:v>407</c:v>
                </c:pt>
                <c:pt idx="22">
                  <c:v>399</c:v>
                </c:pt>
                <c:pt idx="23">
                  <c:v>355</c:v>
                </c:pt>
                <c:pt idx="24">
                  <c:v>347</c:v>
                </c:pt>
                <c:pt idx="25">
                  <c:v>351</c:v>
                </c:pt>
                <c:pt idx="26">
                  <c:v>350</c:v>
                </c:pt>
                <c:pt idx="27">
                  <c:v>352</c:v>
                </c:pt>
                <c:pt idx="28">
                  <c:v>343</c:v>
                </c:pt>
                <c:pt idx="29">
                  <c:v>374</c:v>
                </c:pt>
                <c:pt idx="30">
                  <c:v>375</c:v>
                </c:pt>
                <c:pt idx="31">
                  <c:v>408</c:v>
                </c:pt>
                <c:pt idx="32">
                  <c:v>412</c:v>
                </c:pt>
                <c:pt idx="33">
                  <c:v>410</c:v>
                </c:pt>
                <c:pt idx="34">
                  <c:v>400</c:v>
                </c:pt>
                <c:pt idx="35">
                  <c:v>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5C-4710-A5A1-28FDD61DD74D}"/>
            </c:ext>
          </c:extLst>
        </c:ser>
        <c:ser>
          <c:idx val="1"/>
          <c:order val="1"/>
          <c:tx>
            <c:strRef>
              <c:f>NAIVE!$C$1</c:f>
              <c:strCache>
                <c:ptCount val="1"/>
                <c:pt idx="0">
                  <c:v>Forecast (F)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NAIVE!$A$2:$A$38</c:f>
              <c:numCache>
                <c:formatCode>mmm\-yy</c:formatCode>
                <c:ptCount val="37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</c:numCache>
            </c:numRef>
          </c:cat>
          <c:val>
            <c:numRef>
              <c:f>NAIVE!$C$2:$C$38</c:f>
              <c:numCache>
                <c:formatCode>General</c:formatCode>
                <c:ptCount val="37"/>
                <c:pt idx="1">
                  <c:v>350</c:v>
                </c:pt>
                <c:pt idx="2">
                  <c:v>348</c:v>
                </c:pt>
                <c:pt idx="3">
                  <c:v>353</c:v>
                </c:pt>
                <c:pt idx="4">
                  <c:v>353</c:v>
                </c:pt>
                <c:pt idx="5">
                  <c:v>349</c:v>
                </c:pt>
                <c:pt idx="6">
                  <c:v>377</c:v>
                </c:pt>
                <c:pt idx="7">
                  <c:v>375</c:v>
                </c:pt>
                <c:pt idx="8">
                  <c:v>403</c:v>
                </c:pt>
                <c:pt idx="9">
                  <c:v>412</c:v>
                </c:pt>
                <c:pt idx="10">
                  <c:v>409</c:v>
                </c:pt>
                <c:pt idx="11">
                  <c:v>398</c:v>
                </c:pt>
                <c:pt idx="12">
                  <c:v>357</c:v>
                </c:pt>
                <c:pt idx="13">
                  <c:v>349</c:v>
                </c:pt>
                <c:pt idx="14">
                  <c:v>351</c:v>
                </c:pt>
                <c:pt idx="15">
                  <c:v>350</c:v>
                </c:pt>
                <c:pt idx="16">
                  <c:v>355</c:v>
                </c:pt>
                <c:pt idx="17">
                  <c:v>346</c:v>
                </c:pt>
                <c:pt idx="18">
                  <c:v>377</c:v>
                </c:pt>
                <c:pt idx="19">
                  <c:v>372</c:v>
                </c:pt>
                <c:pt idx="20">
                  <c:v>405</c:v>
                </c:pt>
                <c:pt idx="21">
                  <c:v>416</c:v>
                </c:pt>
                <c:pt idx="22">
                  <c:v>407</c:v>
                </c:pt>
                <c:pt idx="23">
                  <c:v>399</c:v>
                </c:pt>
                <c:pt idx="24">
                  <c:v>355</c:v>
                </c:pt>
                <c:pt idx="25">
                  <c:v>347</c:v>
                </c:pt>
                <c:pt idx="26">
                  <c:v>351</c:v>
                </c:pt>
                <c:pt idx="27">
                  <c:v>350</c:v>
                </c:pt>
                <c:pt idx="28">
                  <c:v>352</c:v>
                </c:pt>
                <c:pt idx="29">
                  <c:v>343</c:v>
                </c:pt>
                <c:pt idx="30">
                  <c:v>374</c:v>
                </c:pt>
                <c:pt idx="31">
                  <c:v>375</c:v>
                </c:pt>
                <c:pt idx="32">
                  <c:v>408</c:v>
                </c:pt>
                <c:pt idx="33">
                  <c:v>412</c:v>
                </c:pt>
                <c:pt idx="34">
                  <c:v>410</c:v>
                </c:pt>
                <c:pt idx="35">
                  <c:v>400</c:v>
                </c:pt>
                <c:pt idx="36">
                  <c:v>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5C-4710-A5A1-28FDD61DD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4907231"/>
        <c:axId val="102489523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NAIVE!$D$1</c15:sqref>
                        </c15:formulaRef>
                      </c:ext>
                    </c:extLst>
                    <c:strCache>
                      <c:ptCount val="1"/>
                      <c:pt idx="0">
                        <c:v>Error (Y-F)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</a:ln>
                  <a:effectLst>
                    <a:glow rad="139700">
                      <a:schemeClr val="accent3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NAIVE!$A$2:$A$38</c15:sqref>
                        </c15:formulaRef>
                      </c:ext>
                    </c:extLst>
                    <c:numCache>
                      <c:formatCode>mmm\-yy</c:formatCode>
                      <c:ptCount val="37"/>
                      <c:pt idx="0">
                        <c:v>43101</c:v>
                      </c:pt>
                      <c:pt idx="1">
                        <c:v>43132</c:v>
                      </c:pt>
                      <c:pt idx="2">
                        <c:v>43160</c:v>
                      </c:pt>
                      <c:pt idx="3">
                        <c:v>43191</c:v>
                      </c:pt>
                      <c:pt idx="4">
                        <c:v>43221</c:v>
                      </c:pt>
                      <c:pt idx="5">
                        <c:v>43252</c:v>
                      </c:pt>
                      <c:pt idx="6">
                        <c:v>43282</c:v>
                      </c:pt>
                      <c:pt idx="7">
                        <c:v>43313</c:v>
                      </c:pt>
                      <c:pt idx="8">
                        <c:v>43344</c:v>
                      </c:pt>
                      <c:pt idx="9">
                        <c:v>43374</c:v>
                      </c:pt>
                      <c:pt idx="10">
                        <c:v>43405</c:v>
                      </c:pt>
                      <c:pt idx="11">
                        <c:v>43435</c:v>
                      </c:pt>
                      <c:pt idx="12">
                        <c:v>43466</c:v>
                      </c:pt>
                      <c:pt idx="13">
                        <c:v>43497</c:v>
                      </c:pt>
                      <c:pt idx="14">
                        <c:v>43525</c:v>
                      </c:pt>
                      <c:pt idx="15">
                        <c:v>43556</c:v>
                      </c:pt>
                      <c:pt idx="16">
                        <c:v>43586</c:v>
                      </c:pt>
                      <c:pt idx="17">
                        <c:v>43617</c:v>
                      </c:pt>
                      <c:pt idx="18">
                        <c:v>43647</c:v>
                      </c:pt>
                      <c:pt idx="19">
                        <c:v>43678</c:v>
                      </c:pt>
                      <c:pt idx="20">
                        <c:v>43709</c:v>
                      </c:pt>
                      <c:pt idx="21">
                        <c:v>43739</c:v>
                      </c:pt>
                      <c:pt idx="22">
                        <c:v>43770</c:v>
                      </c:pt>
                      <c:pt idx="23">
                        <c:v>43800</c:v>
                      </c:pt>
                      <c:pt idx="24">
                        <c:v>43831</c:v>
                      </c:pt>
                      <c:pt idx="25">
                        <c:v>43862</c:v>
                      </c:pt>
                      <c:pt idx="26">
                        <c:v>43891</c:v>
                      </c:pt>
                      <c:pt idx="27">
                        <c:v>43922</c:v>
                      </c:pt>
                      <c:pt idx="28">
                        <c:v>43952</c:v>
                      </c:pt>
                      <c:pt idx="29">
                        <c:v>43983</c:v>
                      </c:pt>
                      <c:pt idx="30">
                        <c:v>44013</c:v>
                      </c:pt>
                      <c:pt idx="31">
                        <c:v>44044</c:v>
                      </c:pt>
                      <c:pt idx="32">
                        <c:v>44075</c:v>
                      </c:pt>
                      <c:pt idx="33">
                        <c:v>44105</c:v>
                      </c:pt>
                      <c:pt idx="34">
                        <c:v>44136</c:v>
                      </c:pt>
                      <c:pt idx="35">
                        <c:v>44166</c:v>
                      </c:pt>
                      <c:pt idx="36">
                        <c:v>44197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NAIVE!$D$2:$D$38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1">
                        <c:v>-2</c:v>
                      </c:pt>
                      <c:pt idx="2">
                        <c:v>5</c:v>
                      </c:pt>
                      <c:pt idx="3">
                        <c:v>0</c:v>
                      </c:pt>
                      <c:pt idx="4">
                        <c:v>-4</c:v>
                      </c:pt>
                      <c:pt idx="5">
                        <c:v>28</c:v>
                      </c:pt>
                      <c:pt idx="6">
                        <c:v>-2</c:v>
                      </c:pt>
                      <c:pt idx="7">
                        <c:v>28</c:v>
                      </c:pt>
                      <c:pt idx="8">
                        <c:v>9</c:v>
                      </c:pt>
                      <c:pt idx="9">
                        <c:v>-3</c:v>
                      </c:pt>
                      <c:pt idx="10">
                        <c:v>-11</c:v>
                      </c:pt>
                      <c:pt idx="11">
                        <c:v>-41</c:v>
                      </c:pt>
                      <c:pt idx="12">
                        <c:v>-8</c:v>
                      </c:pt>
                      <c:pt idx="13">
                        <c:v>2</c:v>
                      </c:pt>
                      <c:pt idx="14">
                        <c:v>-1</c:v>
                      </c:pt>
                      <c:pt idx="15">
                        <c:v>5</c:v>
                      </c:pt>
                      <c:pt idx="16">
                        <c:v>-9</c:v>
                      </c:pt>
                      <c:pt idx="17">
                        <c:v>31</c:v>
                      </c:pt>
                      <c:pt idx="18">
                        <c:v>-5</c:v>
                      </c:pt>
                      <c:pt idx="19">
                        <c:v>33</c:v>
                      </c:pt>
                      <c:pt idx="20">
                        <c:v>11</c:v>
                      </c:pt>
                      <c:pt idx="21">
                        <c:v>-9</c:v>
                      </c:pt>
                      <c:pt idx="22">
                        <c:v>-8</c:v>
                      </c:pt>
                      <c:pt idx="23">
                        <c:v>-44</c:v>
                      </c:pt>
                      <c:pt idx="24">
                        <c:v>-8</c:v>
                      </c:pt>
                      <c:pt idx="25">
                        <c:v>4</c:v>
                      </c:pt>
                      <c:pt idx="26">
                        <c:v>-1</c:v>
                      </c:pt>
                      <c:pt idx="27">
                        <c:v>2</c:v>
                      </c:pt>
                      <c:pt idx="28">
                        <c:v>-9</c:v>
                      </c:pt>
                      <c:pt idx="29">
                        <c:v>31</c:v>
                      </c:pt>
                      <c:pt idx="30">
                        <c:v>1</c:v>
                      </c:pt>
                      <c:pt idx="31">
                        <c:v>33</c:v>
                      </c:pt>
                      <c:pt idx="32">
                        <c:v>4</c:v>
                      </c:pt>
                      <c:pt idx="33">
                        <c:v>-2</c:v>
                      </c:pt>
                      <c:pt idx="34">
                        <c:v>-10</c:v>
                      </c:pt>
                      <c:pt idx="35">
                        <c:v>-43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E5C-4710-A5A1-28FDD61DD74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NAIVE!$E$1</c15:sqref>
                        </c15:formulaRef>
                      </c:ext>
                    </c:extLst>
                    <c:strCache>
                      <c:ptCount val="1"/>
                      <c:pt idx="0">
                        <c:v>Absolute Error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</a:ln>
                  <a:effectLst>
                    <a:glow rad="139700">
                      <a:schemeClr val="accent4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NAIVE!$A$2:$A$38</c15:sqref>
                        </c15:formulaRef>
                      </c:ext>
                    </c:extLst>
                    <c:numCache>
                      <c:formatCode>mmm\-yy</c:formatCode>
                      <c:ptCount val="37"/>
                      <c:pt idx="0">
                        <c:v>43101</c:v>
                      </c:pt>
                      <c:pt idx="1">
                        <c:v>43132</c:v>
                      </c:pt>
                      <c:pt idx="2">
                        <c:v>43160</c:v>
                      </c:pt>
                      <c:pt idx="3">
                        <c:v>43191</c:v>
                      </c:pt>
                      <c:pt idx="4">
                        <c:v>43221</c:v>
                      </c:pt>
                      <c:pt idx="5">
                        <c:v>43252</c:v>
                      </c:pt>
                      <c:pt idx="6">
                        <c:v>43282</c:v>
                      </c:pt>
                      <c:pt idx="7">
                        <c:v>43313</c:v>
                      </c:pt>
                      <c:pt idx="8">
                        <c:v>43344</c:v>
                      </c:pt>
                      <c:pt idx="9">
                        <c:v>43374</c:v>
                      </c:pt>
                      <c:pt idx="10">
                        <c:v>43405</c:v>
                      </c:pt>
                      <c:pt idx="11">
                        <c:v>43435</c:v>
                      </c:pt>
                      <c:pt idx="12">
                        <c:v>43466</c:v>
                      </c:pt>
                      <c:pt idx="13">
                        <c:v>43497</c:v>
                      </c:pt>
                      <c:pt idx="14">
                        <c:v>43525</c:v>
                      </c:pt>
                      <c:pt idx="15">
                        <c:v>43556</c:v>
                      </c:pt>
                      <c:pt idx="16">
                        <c:v>43586</c:v>
                      </c:pt>
                      <c:pt idx="17">
                        <c:v>43617</c:v>
                      </c:pt>
                      <c:pt idx="18">
                        <c:v>43647</c:v>
                      </c:pt>
                      <c:pt idx="19">
                        <c:v>43678</c:v>
                      </c:pt>
                      <c:pt idx="20">
                        <c:v>43709</c:v>
                      </c:pt>
                      <c:pt idx="21">
                        <c:v>43739</c:v>
                      </c:pt>
                      <c:pt idx="22">
                        <c:v>43770</c:v>
                      </c:pt>
                      <c:pt idx="23">
                        <c:v>43800</c:v>
                      </c:pt>
                      <c:pt idx="24">
                        <c:v>43831</c:v>
                      </c:pt>
                      <c:pt idx="25">
                        <c:v>43862</c:v>
                      </c:pt>
                      <c:pt idx="26">
                        <c:v>43891</c:v>
                      </c:pt>
                      <c:pt idx="27">
                        <c:v>43922</c:v>
                      </c:pt>
                      <c:pt idx="28">
                        <c:v>43952</c:v>
                      </c:pt>
                      <c:pt idx="29">
                        <c:v>43983</c:v>
                      </c:pt>
                      <c:pt idx="30">
                        <c:v>44013</c:v>
                      </c:pt>
                      <c:pt idx="31">
                        <c:v>44044</c:v>
                      </c:pt>
                      <c:pt idx="32">
                        <c:v>44075</c:v>
                      </c:pt>
                      <c:pt idx="33">
                        <c:v>44105</c:v>
                      </c:pt>
                      <c:pt idx="34">
                        <c:v>44136</c:v>
                      </c:pt>
                      <c:pt idx="35">
                        <c:v>44166</c:v>
                      </c:pt>
                      <c:pt idx="36">
                        <c:v>44197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NAIVE!$E$2:$E$38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1">
                        <c:v>2</c:v>
                      </c:pt>
                      <c:pt idx="2">
                        <c:v>5</c:v>
                      </c:pt>
                      <c:pt idx="3">
                        <c:v>0</c:v>
                      </c:pt>
                      <c:pt idx="4">
                        <c:v>4</c:v>
                      </c:pt>
                      <c:pt idx="5">
                        <c:v>28</c:v>
                      </c:pt>
                      <c:pt idx="6">
                        <c:v>2</c:v>
                      </c:pt>
                      <c:pt idx="7">
                        <c:v>28</c:v>
                      </c:pt>
                      <c:pt idx="8">
                        <c:v>9</c:v>
                      </c:pt>
                      <c:pt idx="9">
                        <c:v>3</c:v>
                      </c:pt>
                      <c:pt idx="10">
                        <c:v>11</c:v>
                      </c:pt>
                      <c:pt idx="11">
                        <c:v>41</c:v>
                      </c:pt>
                      <c:pt idx="12">
                        <c:v>8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5</c:v>
                      </c:pt>
                      <c:pt idx="16">
                        <c:v>9</c:v>
                      </c:pt>
                      <c:pt idx="17">
                        <c:v>31</c:v>
                      </c:pt>
                      <c:pt idx="18">
                        <c:v>5</c:v>
                      </c:pt>
                      <c:pt idx="19">
                        <c:v>33</c:v>
                      </c:pt>
                      <c:pt idx="20">
                        <c:v>11</c:v>
                      </c:pt>
                      <c:pt idx="21">
                        <c:v>9</c:v>
                      </c:pt>
                      <c:pt idx="22">
                        <c:v>8</c:v>
                      </c:pt>
                      <c:pt idx="23">
                        <c:v>44</c:v>
                      </c:pt>
                      <c:pt idx="24">
                        <c:v>8</c:v>
                      </c:pt>
                      <c:pt idx="25">
                        <c:v>4</c:v>
                      </c:pt>
                      <c:pt idx="26">
                        <c:v>1</c:v>
                      </c:pt>
                      <c:pt idx="27">
                        <c:v>2</c:v>
                      </c:pt>
                      <c:pt idx="28">
                        <c:v>9</c:v>
                      </c:pt>
                      <c:pt idx="29">
                        <c:v>31</c:v>
                      </c:pt>
                      <c:pt idx="30">
                        <c:v>1</c:v>
                      </c:pt>
                      <c:pt idx="31">
                        <c:v>33</c:v>
                      </c:pt>
                      <c:pt idx="32">
                        <c:v>4</c:v>
                      </c:pt>
                      <c:pt idx="33">
                        <c:v>2</c:v>
                      </c:pt>
                      <c:pt idx="34">
                        <c:v>10</c:v>
                      </c:pt>
                      <c:pt idx="35">
                        <c:v>43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E5C-4710-A5A1-28FDD61DD74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NAIVE!$F$1</c15:sqref>
                        </c15:formulaRef>
                      </c:ext>
                    </c:extLst>
                    <c:strCache>
                      <c:ptCount val="1"/>
                      <c:pt idx="0">
                        <c:v>Squared Error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</a:ln>
                  <a:effectLst>
                    <a:glow rad="139700">
                      <a:schemeClr val="accent5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NAIVE!$A$2:$A$38</c15:sqref>
                        </c15:formulaRef>
                      </c:ext>
                    </c:extLst>
                    <c:numCache>
                      <c:formatCode>mmm\-yy</c:formatCode>
                      <c:ptCount val="37"/>
                      <c:pt idx="0">
                        <c:v>43101</c:v>
                      </c:pt>
                      <c:pt idx="1">
                        <c:v>43132</c:v>
                      </c:pt>
                      <c:pt idx="2">
                        <c:v>43160</c:v>
                      </c:pt>
                      <c:pt idx="3">
                        <c:v>43191</c:v>
                      </c:pt>
                      <c:pt idx="4">
                        <c:v>43221</c:v>
                      </c:pt>
                      <c:pt idx="5">
                        <c:v>43252</c:v>
                      </c:pt>
                      <c:pt idx="6">
                        <c:v>43282</c:v>
                      </c:pt>
                      <c:pt idx="7">
                        <c:v>43313</c:v>
                      </c:pt>
                      <c:pt idx="8">
                        <c:v>43344</c:v>
                      </c:pt>
                      <c:pt idx="9">
                        <c:v>43374</c:v>
                      </c:pt>
                      <c:pt idx="10">
                        <c:v>43405</c:v>
                      </c:pt>
                      <c:pt idx="11">
                        <c:v>43435</c:v>
                      </c:pt>
                      <c:pt idx="12">
                        <c:v>43466</c:v>
                      </c:pt>
                      <c:pt idx="13">
                        <c:v>43497</c:v>
                      </c:pt>
                      <c:pt idx="14">
                        <c:v>43525</c:v>
                      </c:pt>
                      <c:pt idx="15">
                        <c:v>43556</c:v>
                      </c:pt>
                      <c:pt idx="16">
                        <c:v>43586</c:v>
                      </c:pt>
                      <c:pt idx="17">
                        <c:v>43617</c:v>
                      </c:pt>
                      <c:pt idx="18">
                        <c:v>43647</c:v>
                      </c:pt>
                      <c:pt idx="19">
                        <c:v>43678</c:v>
                      </c:pt>
                      <c:pt idx="20">
                        <c:v>43709</c:v>
                      </c:pt>
                      <c:pt idx="21">
                        <c:v>43739</c:v>
                      </c:pt>
                      <c:pt idx="22">
                        <c:v>43770</c:v>
                      </c:pt>
                      <c:pt idx="23">
                        <c:v>43800</c:v>
                      </c:pt>
                      <c:pt idx="24">
                        <c:v>43831</c:v>
                      </c:pt>
                      <c:pt idx="25">
                        <c:v>43862</c:v>
                      </c:pt>
                      <c:pt idx="26">
                        <c:v>43891</c:v>
                      </c:pt>
                      <c:pt idx="27">
                        <c:v>43922</c:v>
                      </c:pt>
                      <c:pt idx="28">
                        <c:v>43952</c:v>
                      </c:pt>
                      <c:pt idx="29">
                        <c:v>43983</c:v>
                      </c:pt>
                      <c:pt idx="30">
                        <c:v>44013</c:v>
                      </c:pt>
                      <c:pt idx="31">
                        <c:v>44044</c:v>
                      </c:pt>
                      <c:pt idx="32">
                        <c:v>44075</c:v>
                      </c:pt>
                      <c:pt idx="33">
                        <c:v>44105</c:v>
                      </c:pt>
                      <c:pt idx="34">
                        <c:v>44136</c:v>
                      </c:pt>
                      <c:pt idx="35">
                        <c:v>44166</c:v>
                      </c:pt>
                      <c:pt idx="36">
                        <c:v>44197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NAIVE!$F$2:$F$38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1">
                        <c:v>4</c:v>
                      </c:pt>
                      <c:pt idx="2">
                        <c:v>25</c:v>
                      </c:pt>
                      <c:pt idx="3">
                        <c:v>0</c:v>
                      </c:pt>
                      <c:pt idx="4">
                        <c:v>16</c:v>
                      </c:pt>
                      <c:pt idx="5">
                        <c:v>784</c:v>
                      </c:pt>
                      <c:pt idx="6">
                        <c:v>4</c:v>
                      </c:pt>
                      <c:pt idx="7">
                        <c:v>784</c:v>
                      </c:pt>
                      <c:pt idx="8">
                        <c:v>81</c:v>
                      </c:pt>
                      <c:pt idx="9">
                        <c:v>9</c:v>
                      </c:pt>
                      <c:pt idx="10">
                        <c:v>121</c:v>
                      </c:pt>
                      <c:pt idx="11">
                        <c:v>1681</c:v>
                      </c:pt>
                      <c:pt idx="12">
                        <c:v>64</c:v>
                      </c:pt>
                      <c:pt idx="13">
                        <c:v>4</c:v>
                      </c:pt>
                      <c:pt idx="14">
                        <c:v>1</c:v>
                      </c:pt>
                      <c:pt idx="15">
                        <c:v>25</c:v>
                      </c:pt>
                      <c:pt idx="16">
                        <c:v>81</c:v>
                      </c:pt>
                      <c:pt idx="17">
                        <c:v>961</c:v>
                      </c:pt>
                      <c:pt idx="18">
                        <c:v>25</c:v>
                      </c:pt>
                      <c:pt idx="19">
                        <c:v>1089</c:v>
                      </c:pt>
                      <c:pt idx="20">
                        <c:v>121</c:v>
                      </c:pt>
                      <c:pt idx="21">
                        <c:v>81</c:v>
                      </c:pt>
                      <c:pt idx="22">
                        <c:v>64</c:v>
                      </c:pt>
                      <c:pt idx="23">
                        <c:v>1936</c:v>
                      </c:pt>
                      <c:pt idx="24">
                        <c:v>64</c:v>
                      </c:pt>
                      <c:pt idx="25">
                        <c:v>16</c:v>
                      </c:pt>
                      <c:pt idx="26">
                        <c:v>1</c:v>
                      </c:pt>
                      <c:pt idx="27">
                        <c:v>4</c:v>
                      </c:pt>
                      <c:pt idx="28">
                        <c:v>81</c:v>
                      </c:pt>
                      <c:pt idx="29">
                        <c:v>961</c:v>
                      </c:pt>
                      <c:pt idx="30">
                        <c:v>1</c:v>
                      </c:pt>
                      <c:pt idx="31">
                        <c:v>1089</c:v>
                      </c:pt>
                      <c:pt idx="32">
                        <c:v>16</c:v>
                      </c:pt>
                      <c:pt idx="33">
                        <c:v>4</c:v>
                      </c:pt>
                      <c:pt idx="34">
                        <c:v>100</c:v>
                      </c:pt>
                      <c:pt idx="35">
                        <c:v>1849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E5C-4710-A5A1-28FDD61DD74D}"/>
                  </c:ext>
                </c:extLst>
              </c15:ser>
            </c15:filteredLineSeries>
          </c:ext>
        </c:extLst>
      </c:lineChart>
      <c:dateAx>
        <c:axId val="102490723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895231"/>
        <c:crosses val="autoZero"/>
        <c:auto val="1"/>
        <c:lblOffset val="100"/>
        <c:baseTimeUnit val="months"/>
      </c:dateAx>
      <c:valAx>
        <c:axId val="10248952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90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AVERAGE!$B$1</c:f>
              <c:strCache>
                <c:ptCount val="1"/>
                <c:pt idx="0">
                  <c:v>Employees (Y)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AVERAGE!$A$2:$A$38</c:f>
              <c:numCache>
                <c:formatCode>mmm\-yy</c:formatCode>
                <c:ptCount val="37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</c:numCache>
            </c:numRef>
          </c:cat>
          <c:val>
            <c:numRef>
              <c:f>AVERAGE!$B$2:$B$38</c:f>
              <c:numCache>
                <c:formatCode>General</c:formatCode>
                <c:ptCount val="37"/>
                <c:pt idx="0">
                  <c:v>350</c:v>
                </c:pt>
                <c:pt idx="1">
                  <c:v>348</c:v>
                </c:pt>
                <c:pt idx="2">
                  <c:v>353</c:v>
                </c:pt>
                <c:pt idx="3">
                  <c:v>353</c:v>
                </c:pt>
                <c:pt idx="4">
                  <c:v>349</c:v>
                </c:pt>
                <c:pt idx="5">
                  <c:v>377</c:v>
                </c:pt>
                <c:pt idx="6">
                  <c:v>375</c:v>
                </c:pt>
                <c:pt idx="7">
                  <c:v>403</c:v>
                </c:pt>
                <c:pt idx="8">
                  <c:v>412</c:v>
                </c:pt>
                <c:pt idx="9">
                  <c:v>409</c:v>
                </c:pt>
                <c:pt idx="10">
                  <c:v>398</c:v>
                </c:pt>
                <c:pt idx="11">
                  <c:v>357</c:v>
                </c:pt>
                <c:pt idx="12">
                  <c:v>349</c:v>
                </c:pt>
                <c:pt idx="13">
                  <c:v>351</c:v>
                </c:pt>
                <c:pt idx="14">
                  <c:v>350</c:v>
                </c:pt>
                <c:pt idx="15">
                  <c:v>355</c:v>
                </c:pt>
                <c:pt idx="16">
                  <c:v>346</c:v>
                </c:pt>
                <c:pt idx="17">
                  <c:v>377</c:v>
                </c:pt>
                <c:pt idx="18">
                  <c:v>372</c:v>
                </c:pt>
                <c:pt idx="19">
                  <c:v>405</c:v>
                </c:pt>
                <c:pt idx="20">
                  <c:v>416</c:v>
                </c:pt>
                <c:pt idx="21">
                  <c:v>407</c:v>
                </c:pt>
                <c:pt idx="22">
                  <c:v>399</c:v>
                </c:pt>
                <c:pt idx="23">
                  <c:v>355</c:v>
                </c:pt>
                <c:pt idx="24">
                  <c:v>347</c:v>
                </c:pt>
                <c:pt idx="25">
                  <c:v>351</c:v>
                </c:pt>
                <c:pt idx="26">
                  <c:v>350</c:v>
                </c:pt>
                <c:pt idx="27">
                  <c:v>352</c:v>
                </c:pt>
                <c:pt idx="28">
                  <c:v>343</c:v>
                </c:pt>
                <c:pt idx="29">
                  <c:v>374</c:v>
                </c:pt>
                <c:pt idx="30">
                  <c:v>375</c:v>
                </c:pt>
                <c:pt idx="31">
                  <c:v>408</c:v>
                </c:pt>
                <c:pt idx="32">
                  <c:v>412</c:v>
                </c:pt>
                <c:pt idx="33">
                  <c:v>410</c:v>
                </c:pt>
                <c:pt idx="34">
                  <c:v>400</c:v>
                </c:pt>
                <c:pt idx="35">
                  <c:v>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A-41AE-8BDE-21AC6FE1CFB8}"/>
            </c:ext>
          </c:extLst>
        </c:ser>
        <c:ser>
          <c:idx val="1"/>
          <c:order val="1"/>
          <c:tx>
            <c:strRef>
              <c:f>AVERAGE!$C$1</c:f>
              <c:strCache>
                <c:ptCount val="1"/>
                <c:pt idx="0">
                  <c:v>Forecast (F)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AVERAGE!$A$2:$A$38</c:f>
              <c:numCache>
                <c:formatCode>mmm\-yy</c:formatCode>
                <c:ptCount val="37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</c:numCache>
            </c:numRef>
          </c:cat>
          <c:val>
            <c:numRef>
              <c:f>AVERAGE!$C$2:$C$38</c:f>
              <c:numCache>
                <c:formatCode>General</c:formatCode>
                <c:ptCount val="37"/>
                <c:pt idx="0">
                  <c:v>373.47222222222223</c:v>
                </c:pt>
                <c:pt idx="1">
                  <c:v>373.47222222222223</c:v>
                </c:pt>
                <c:pt idx="2">
                  <c:v>373.47222222222223</c:v>
                </c:pt>
                <c:pt idx="3">
                  <c:v>373.47222222222223</c:v>
                </c:pt>
                <c:pt idx="4">
                  <c:v>373.47222222222223</c:v>
                </c:pt>
                <c:pt idx="5">
                  <c:v>373.47222222222223</c:v>
                </c:pt>
                <c:pt idx="6">
                  <c:v>373.47222222222223</c:v>
                </c:pt>
                <c:pt idx="7">
                  <c:v>373.47222222222223</c:v>
                </c:pt>
                <c:pt idx="8">
                  <c:v>373.47222222222223</c:v>
                </c:pt>
                <c:pt idx="9">
                  <c:v>373.47222222222223</c:v>
                </c:pt>
                <c:pt idx="10">
                  <c:v>373.47222222222223</c:v>
                </c:pt>
                <c:pt idx="11">
                  <c:v>373.47222222222223</c:v>
                </c:pt>
                <c:pt idx="12">
                  <c:v>373.47222222222223</c:v>
                </c:pt>
                <c:pt idx="13">
                  <c:v>373.47222222222223</c:v>
                </c:pt>
                <c:pt idx="14">
                  <c:v>373.47222222222223</c:v>
                </c:pt>
                <c:pt idx="15">
                  <c:v>373.47222222222223</c:v>
                </c:pt>
                <c:pt idx="16">
                  <c:v>373.47222222222223</c:v>
                </c:pt>
                <c:pt idx="17">
                  <c:v>373.47222222222223</c:v>
                </c:pt>
                <c:pt idx="18">
                  <c:v>373.47222222222223</c:v>
                </c:pt>
                <c:pt idx="19">
                  <c:v>373.47222222222223</c:v>
                </c:pt>
                <c:pt idx="20">
                  <c:v>373.47222222222223</c:v>
                </c:pt>
                <c:pt idx="21">
                  <c:v>373.47222222222223</c:v>
                </c:pt>
                <c:pt idx="22">
                  <c:v>373.47222222222223</c:v>
                </c:pt>
                <c:pt idx="23">
                  <c:v>373.47222222222223</c:v>
                </c:pt>
                <c:pt idx="24">
                  <c:v>373.47222222222223</c:v>
                </c:pt>
                <c:pt idx="25">
                  <c:v>373.47222222222223</c:v>
                </c:pt>
                <c:pt idx="26">
                  <c:v>373.47222222222223</c:v>
                </c:pt>
                <c:pt idx="27">
                  <c:v>373.47222222222223</c:v>
                </c:pt>
                <c:pt idx="28">
                  <c:v>373.47222222222223</c:v>
                </c:pt>
                <c:pt idx="29">
                  <c:v>373.47222222222223</c:v>
                </c:pt>
                <c:pt idx="30">
                  <c:v>373.47222222222223</c:v>
                </c:pt>
                <c:pt idx="31">
                  <c:v>373.47222222222223</c:v>
                </c:pt>
                <c:pt idx="32">
                  <c:v>373.47222222222223</c:v>
                </c:pt>
                <c:pt idx="33">
                  <c:v>373.47222222222223</c:v>
                </c:pt>
                <c:pt idx="34">
                  <c:v>373.47222222222223</c:v>
                </c:pt>
                <c:pt idx="35">
                  <c:v>373.47222222222223</c:v>
                </c:pt>
                <c:pt idx="36" formatCode="0.00">
                  <c:v>373.47222222222223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3A-41AE-8BDE-21AC6FE1C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5763952"/>
        <c:axId val="29576347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AVERAGE!$D$1</c15:sqref>
                        </c15:formulaRef>
                      </c:ext>
                    </c:extLst>
                    <c:strCache>
                      <c:ptCount val="1"/>
                      <c:pt idx="0">
                        <c:v>Error (Y-F)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</a:ln>
                  <a:effectLst>
                    <a:glow rad="139700">
                      <a:schemeClr val="accent3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AVERAGE!$A$2:$A$38</c15:sqref>
                        </c15:formulaRef>
                      </c:ext>
                    </c:extLst>
                    <c:numCache>
                      <c:formatCode>mmm\-yy</c:formatCode>
                      <c:ptCount val="37"/>
                      <c:pt idx="0">
                        <c:v>43101</c:v>
                      </c:pt>
                      <c:pt idx="1">
                        <c:v>43132</c:v>
                      </c:pt>
                      <c:pt idx="2">
                        <c:v>43160</c:v>
                      </c:pt>
                      <c:pt idx="3">
                        <c:v>43191</c:v>
                      </c:pt>
                      <c:pt idx="4">
                        <c:v>43221</c:v>
                      </c:pt>
                      <c:pt idx="5">
                        <c:v>43252</c:v>
                      </c:pt>
                      <c:pt idx="6">
                        <c:v>43282</c:v>
                      </c:pt>
                      <c:pt idx="7">
                        <c:v>43313</c:v>
                      </c:pt>
                      <c:pt idx="8">
                        <c:v>43344</c:v>
                      </c:pt>
                      <c:pt idx="9">
                        <c:v>43374</c:v>
                      </c:pt>
                      <c:pt idx="10">
                        <c:v>43405</c:v>
                      </c:pt>
                      <c:pt idx="11">
                        <c:v>43435</c:v>
                      </c:pt>
                      <c:pt idx="12">
                        <c:v>43466</c:v>
                      </c:pt>
                      <c:pt idx="13">
                        <c:v>43497</c:v>
                      </c:pt>
                      <c:pt idx="14">
                        <c:v>43525</c:v>
                      </c:pt>
                      <c:pt idx="15">
                        <c:v>43556</c:v>
                      </c:pt>
                      <c:pt idx="16">
                        <c:v>43586</c:v>
                      </c:pt>
                      <c:pt idx="17">
                        <c:v>43617</c:v>
                      </c:pt>
                      <c:pt idx="18">
                        <c:v>43647</c:v>
                      </c:pt>
                      <c:pt idx="19">
                        <c:v>43678</c:v>
                      </c:pt>
                      <c:pt idx="20">
                        <c:v>43709</c:v>
                      </c:pt>
                      <c:pt idx="21">
                        <c:v>43739</c:v>
                      </c:pt>
                      <c:pt idx="22">
                        <c:v>43770</c:v>
                      </c:pt>
                      <c:pt idx="23">
                        <c:v>43800</c:v>
                      </c:pt>
                      <c:pt idx="24">
                        <c:v>43831</c:v>
                      </c:pt>
                      <c:pt idx="25">
                        <c:v>43862</c:v>
                      </c:pt>
                      <c:pt idx="26">
                        <c:v>43891</c:v>
                      </c:pt>
                      <c:pt idx="27">
                        <c:v>43922</c:v>
                      </c:pt>
                      <c:pt idx="28">
                        <c:v>43952</c:v>
                      </c:pt>
                      <c:pt idx="29">
                        <c:v>43983</c:v>
                      </c:pt>
                      <c:pt idx="30">
                        <c:v>44013</c:v>
                      </c:pt>
                      <c:pt idx="31">
                        <c:v>44044</c:v>
                      </c:pt>
                      <c:pt idx="32">
                        <c:v>44075</c:v>
                      </c:pt>
                      <c:pt idx="33">
                        <c:v>44105</c:v>
                      </c:pt>
                      <c:pt idx="34">
                        <c:v>44136</c:v>
                      </c:pt>
                      <c:pt idx="35">
                        <c:v>44166</c:v>
                      </c:pt>
                      <c:pt idx="36">
                        <c:v>44197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AVERAGE!$D$2:$D$38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-23.472222222222229</c:v>
                      </c:pt>
                      <c:pt idx="1">
                        <c:v>-25.472222222222229</c:v>
                      </c:pt>
                      <c:pt idx="2">
                        <c:v>-20.472222222222229</c:v>
                      </c:pt>
                      <c:pt idx="3">
                        <c:v>-20.472222222222229</c:v>
                      </c:pt>
                      <c:pt idx="4">
                        <c:v>-24.472222222222229</c:v>
                      </c:pt>
                      <c:pt idx="5">
                        <c:v>3.5277777777777715</c:v>
                      </c:pt>
                      <c:pt idx="6">
                        <c:v>1.5277777777777715</c:v>
                      </c:pt>
                      <c:pt idx="7">
                        <c:v>29.527777777777771</c:v>
                      </c:pt>
                      <c:pt idx="8">
                        <c:v>38.527777777777771</c:v>
                      </c:pt>
                      <c:pt idx="9">
                        <c:v>35.527777777777771</c:v>
                      </c:pt>
                      <c:pt idx="10">
                        <c:v>24.527777777777771</c:v>
                      </c:pt>
                      <c:pt idx="11">
                        <c:v>-16.472222222222229</c:v>
                      </c:pt>
                      <c:pt idx="12">
                        <c:v>-24.472222222222229</c:v>
                      </c:pt>
                      <c:pt idx="13">
                        <c:v>-22.472222222222229</c:v>
                      </c:pt>
                      <c:pt idx="14">
                        <c:v>-23.472222222222229</c:v>
                      </c:pt>
                      <c:pt idx="15">
                        <c:v>-18.472222222222229</c:v>
                      </c:pt>
                      <c:pt idx="16">
                        <c:v>-27.472222222222229</c:v>
                      </c:pt>
                      <c:pt idx="17">
                        <c:v>3.5277777777777715</c:v>
                      </c:pt>
                      <c:pt idx="18">
                        <c:v>-1.4722222222222285</c:v>
                      </c:pt>
                      <c:pt idx="19">
                        <c:v>31.527777777777771</c:v>
                      </c:pt>
                      <c:pt idx="20">
                        <c:v>42.527777777777771</c:v>
                      </c:pt>
                      <c:pt idx="21">
                        <c:v>33.527777777777771</c:v>
                      </c:pt>
                      <c:pt idx="22">
                        <c:v>25.527777777777771</c:v>
                      </c:pt>
                      <c:pt idx="23">
                        <c:v>-18.472222222222229</c:v>
                      </c:pt>
                      <c:pt idx="24">
                        <c:v>-26.472222222222229</c:v>
                      </c:pt>
                      <c:pt idx="25">
                        <c:v>-22.472222222222229</c:v>
                      </c:pt>
                      <c:pt idx="26">
                        <c:v>-23.472222222222229</c:v>
                      </c:pt>
                      <c:pt idx="27">
                        <c:v>-21.472222222222229</c:v>
                      </c:pt>
                      <c:pt idx="28">
                        <c:v>-30.472222222222229</c:v>
                      </c:pt>
                      <c:pt idx="29">
                        <c:v>0.52777777777777146</c:v>
                      </c:pt>
                      <c:pt idx="30">
                        <c:v>1.5277777777777715</c:v>
                      </c:pt>
                      <c:pt idx="31">
                        <c:v>34.527777777777771</c:v>
                      </c:pt>
                      <c:pt idx="32">
                        <c:v>38.527777777777771</c:v>
                      </c:pt>
                      <c:pt idx="33">
                        <c:v>36.527777777777771</c:v>
                      </c:pt>
                      <c:pt idx="34">
                        <c:v>26.527777777777771</c:v>
                      </c:pt>
                      <c:pt idx="35">
                        <c:v>-16.472222222222229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D3A-41AE-8BDE-21AC6FE1CFB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AVERAGE!$E$1</c15:sqref>
                        </c15:formulaRef>
                      </c:ext>
                    </c:extLst>
                    <c:strCache>
                      <c:ptCount val="1"/>
                      <c:pt idx="0">
                        <c:v>Absolute Error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</a:ln>
                  <a:effectLst>
                    <a:glow rad="139700">
                      <a:schemeClr val="accent4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AVERAGE!$A$2:$A$38</c15:sqref>
                        </c15:formulaRef>
                      </c:ext>
                    </c:extLst>
                    <c:numCache>
                      <c:formatCode>mmm\-yy</c:formatCode>
                      <c:ptCount val="37"/>
                      <c:pt idx="0">
                        <c:v>43101</c:v>
                      </c:pt>
                      <c:pt idx="1">
                        <c:v>43132</c:v>
                      </c:pt>
                      <c:pt idx="2">
                        <c:v>43160</c:v>
                      </c:pt>
                      <c:pt idx="3">
                        <c:v>43191</c:v>
                      </c:pt>
                      <c:pt idx="4">
                        <c:v>43221</c:v>
                      </c:pt>
                      <c:pt idx="5">
                        <c:v>43252</c:v>
                      </c:pt>
                      <c:pt idx="6">
                        <c:v>43282</c:v>
                      </c:pt>
                      <c:pt idx="7">
                        <c:v>43313</c:v>
                      </c:pt>
                      <c:pt idx="8">
                        <c:v>43344</c:v>
                      </c:pt>
                      <c:pt idx="9">
                        <c:v>43374</c:v>
                      </c:pt>
                      <c:pt idx="10">
                        <c:v>43405</c:v>
                      </c:pt>
                      <c:pt idx="11">
                        <c:v>43435</c:v>
                      </c:pt>
                      <c:pt idx="12">
                        <c:v>43466</c:v>
                      </c:pt>
                      <c:pt idx="13">
                        <c:v>43497</c:v>
                      </c:pt>
                      <c:pt idx="14">
                        <c:v>43525</c:v>
                      </c:pt>
                      <c:pt idx="15">
                        <c:v>43556</c:v>
                      </c:pt>
                      <c:pt idx="16">
                        <c:v>43586</c:v>
                      </c:pt>
                      <c:pt idx="17">
                        <c:v>43617</c:v>
                      </c:pt>
                      <c:pt idx="18">
                        <c:v>43647</c:v>
                      </c:pt>
                      <c:pt idx="19">
                        <c:v>43678</c:v>
                      </c:pt>
                      <c:pt idx="20">
                        <c:v>43709</c:v>
                      </c:pt>
                      <c:pt idx="21">
                        <c:v>43739</c:v>
                      </c:pt>
                      <c:pt idx="22">
                        <c:v>43770</c:v>
                      </c:pt>
                      <c:pt idx="23">
                        <c:v>43800</c:v>
                      </c:pt>
                      <c:pt idx="24">
                        <c:v>43831</c:v>
                      </c:pt>
                      <c:pt idx="25">
                        <c:v>43862</c:v>
                      </c:pt>
                      <c:pt idx="26">
                        <c:v>43891</c:v>
                      </c:pt>
                      <c:pt idx="27">
                        <c:v>43922</c:v>
                      </c:pt>
                      <c:pt idx="28">
                        <c:v>43952</c:v>
                      </c:pt>
                      <c:pt idx="29">
                        <c:v>43983</c:v>
                      </c:pt>
                      <c:pt idx="30">
                        <c:v>44013</c:v>
                      </c:pt>
                      <c:pt idx="31">
                        <c:v>44044</c:v>
                      </c:pt>
                      <c:pt idx="32">
                        <c:v>44075</c:v>
                      </c:pt>
                      <c:pt idx="33">
                        <c:v>44105</c:v>
                      </c:pt>
                      <c:pt idx="34">
                        <c:v>44136</c:v>
                      </c:pt>
                      <c:pt idx="35">
                        <c:v>44166</c:v>
                      </c:pt>
                      <c:pt idx="36">
                        <c:v>44197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AVERAGE!$E$2:$E$38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23.472222222222229</c:v>
                      </c:pt>
                      <c:pt idx="1">
                        <c:v>25.472222222222229</c:v>
                      </c:pt>
                      <c:pt idx="2">
                        <c:v>20.472222222222229</c:v>
                      </c:pt>
                      <c:pt idx="3">
                        <c:v>20.472222222222229</c:v>
                      </c:pt>
                      <c:pt idx="4">
                        <c:v>24.472222222222229</c:v>
                      </c:pt>
                      <c:pt idx="5">
                        <c:v>3.5277777777777715</c:v>
                      </c:pt>
                      <c:pt idx="6">
                        <c:v>1.5277777777777715</c:v>
                      </c:pt>
                      <c:pt idx="7">
                        <c:v>29.527777777777771</c:v>
                      </c:pt>
                      <c:pt idx="8">
                        <c:v>38.527777777777771</c:v>
                      </c:pt>
                      <c:pt idx="9">
                        <c:v>35.527777777777771</c:v>
                      </c:pt>
                      <c:pt idx="10">
                        <c:v>24.527777777777771</c:v>
                      </c:pt>
                      <c:pt idx="11">
                        <c:v>16.472222222222229</c:v>
                      </c:pt>
                      <c:pt idx="12">
                        <c:v>24.472222222222229</c:v>
                      </c:pt>
                      <c:pt idx="13">
                        <c:v>22.472222222222229</c:v>
                      </c:pt>
                      <c:pt idx="14">
                        <c:v>23.472222222222229</c:v>
                      </c:pt>
                      <c:pt idx="15">
                        <c:v>18.472222222222229</c:v>
                      </c:pt>
                      <c:pt idx="16">
                        <c:v>27.472222222222229</c:v>
                      </c:pt>
                      <c:pt idx="17">
                        <c:v>3.5277777777777715</c:v>
                      </c:pt>
                      <c:pt idx="18">
                        <c:v>1.4722222222222285</c:v>
                      </c:pt>
                      <c:pt idx="19">
                        <c:v>31.527777777777771</c:v>
                      </c:pt>
                      <c:pt idx="20">
                        <c:v>42.527777777777771</c:v>
                      </c:pt>
                      <c:pt idx="21">
                        <c:v>33.527777777777771</c:v>
                      </c:pt>
                      <c:pt idx="22">
                        <c:v>25.527777777777771</c:v>
                      </c:pt>
                      <c:pt idx="23">
                        <c:v>18.472222222222229</c:v>
                      </c:pt>
                      <c:pt idx="24">
                        <c:v>26.472222222222229</c:v>
                      </c:pt>
                      <c:pt idx="25">
                        <c:v>22.472222222222229</c:v>
                      </c:pt>
                      <c:pt idx="26">
                        <c:v>23.472222222222229</c:v>
                      </c:pt>
                      <c:pt idx="27">
                        <c:v>21.472222222222229</c:v>
                      </c:pt>
                      <c:pt idx="28">
                        <c:v>30.472222222222229</c:v>
                      </c:pt>
                      <c:pt idx="29">
                        <c:v>0.52777777777777146</c:v>
                      </c:pt>
                      <c:pt idx="30">
                        <c:v>1.5277777777777715</c:v>
                      </c:pt>
                      <c:pt idx="31">
                        <c:v>34.527777777777771</c:v>
                      </c:pt>
                      <c:pt idx="32">
                        <c:v>38.527777777777771</c:v>
                      </c:pt>
                      <c:pt idx="33">
                        <c:v>36.527777777777771</c:v>
                      </c:pt>
                      <c:pt idx="34">
                        <c:v>26.527777777777771</c:v>
                      </c:pt>
                      <c:pt idx="35">
                        <c:v>16.472222222222229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D3A-41AE-8BDE-21AC6FE1CFB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AVERAGE!$F$1</c15:sqref>
                        </c15:formulaRef>
                      </c:ext>
                    </c:extLst>
                    <c:strCache>
                      <c:ptCount val="1"/>
                      <c:pt idx="0">
                        <c:v>Squared Error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</a:ln>
                  <a:effectLst>
                    <a:glow rad="139700">
                      <a:schemeClr val="accent5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AVERAGE!$A$2:$A$38</c15:sqref>
                        </c15:formulaRef>
                      </c:ext>
                    </c:extLst>
                    <c:numCache>
                      <c:formatCode>mmm\-yy</c:formatCode>
                      <c:ptCount val="37"/>
                      <c:pt idx="0">
                        <c:v>43101</c:v>
                      </c:pt>
                      <c:pt idx="1">
                        <c:v>43132</c:v>
                      </c:pt>
                      <c:pt idx="2">
                        <c:v>43160</c:v>
                      </c:pt>
                      <c:pt idx="3">
                        <c:v>43191</c:v>
                      </c:pt>
                      <c:pt idx="4">
                        <c:v>43221</c:v>
                      </c:pt>
                      <c:pt idx="5">
                        <c:v>43252</c:v>
                      </c:pt>
                      <c:pt idx="6">
                        <c:v>43282</c:v>
                      </c:pt>
                      <c:pt idx="7">
                        <c:v>43313</c:v>
                      </c:pt>
                      <c:pt idx="8">
                        <c:v>43344</c:v>
                      </c:pt>
                      <c:pt idx="9">
                        <c:v>43374</c:v>
                      </c:pt>
                      <c:pt idx="10">
                        <c:v>43405</c:v>
                      </c:pt>
                      <c:pt idx="11">
                        <c:v>43435</c:v>
                      </c:pt>
                      <c:pt idx="12">
                        <c:v>43466</c:v>
                      </c:pt>
                      <c:pt idx="13">
                        <c:v>43497</c:v>
                      </c:pt>
                      <c:pt idx="14">
                        <c:v>43525</c:v>
                      </c:pt>
                      <c:pt idx="15">
                        <c:v>43556</c:v>
                      </c:pt>
                      <c:pt idx="16">
                        <c:v>43586</c:v>
                      </c:pt>
                      <c:pt idx="17">
                        <c:v>43617</c:v>
                      </c:pt>
                      <c:pt idx="18">
                        <c:v>43647</c:v>
                      </c:pt>
                      <c:pt idx="19">
                        <c:v>43678</c:v>
                      </c:pt>
                      <c:pt idx="20">
                        <c:v>43709</c:v>
                      </c:pt>
                      <c:pt idx="21">
                        <c:v>43739</c:v>
                      </c:pt>
                      <c:pt idx="22">
                        <c:v>43770</c:v>
                      </c:pt>
                      <c:pt idx="23">
                        <c:v>43800</c:v>
                      </c:pt>
                      <c:pt idx="24">
                        <c:v>43831</c:v>
                      </c:pt>
                      <c:pt idx="25">
                        <c:v>43862</c:v>
                      </c:pt>
                      <c:pt idx="26">
                        <c:v>43891</c:v>
                      </c:pt>
                      <c:pt idx="27">
                        <c:v>43922</c:v>
                      </c:pt>
                      <c:pt idx="28">
                        <c:v>43952</c:v>
                      </c:pt>
                      <c:pt idx="29">
                        <c:v>43983</c:v>
                      </c:pt>
                      <c:pt idx="30">
                        <c:v>44013</c:v>
                      </c:pt>
                      <c:pt idx="31">
                        <c:v>44044</c:v>
                      </c:pt>
                      <c:pt idx="32">
                        <c:v>44075</c:v>
                      </c:pt>
                      <c:pt idx="33">
                        <c:v>44105</c:v>
                      </c:pt>
                      <c:pt idx="34">
                        <c:v>44136</c:v>
                      </c:pt>
                      <c:pt idx="35">
                        <c:v>44166</c:v>
                      </c:pt>
                      <c:pt idx="36">
                        <c:v>44197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AVERAGE!$F$2:$F$38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550.94521604938302</c:v>
                      </c:pt>
                      <c:pt idx="1">
                        <c:v>648.83410493827193</c:v>
                      </c:pt>
                      <c:pt idx="2">
                        <c:v>419.11188271604965</c:v>
                      </c:pt>
                      <c:pt idx="3">
                        <c:v>419.11188271604965</c:v>
                      </c:pt>
                      <c:pt idx="4">
                        <c:v>598.88966049382748</c:v>
                      </c:pt>
                      <c:pt idx="5">
                        <c:v>12.445216049382671</c:v>
                      </c:pt>
                      <c:pt idx="6">
                        <c:v>2.3341049382715857</c:v>
                      </c:pt>
                      <c:pt idx="7">
                        <c:v>871.8896604938268</c:v>
                      </c:pt>
                      <c:pt idx="8">
                        <c:v>1484.3896604938266</c:v>
                      </c:pt>
                      <c:pt idx="9">
                        <c:v>1262.2229938271601</c:v>
                      </c:pt>
                      <c:pt idx="10">
                        <c:v>601.61188271604908</c:v>
                      </c:pt>
                      <c:pt idx="11">
                        <c:v>271.33410493827182</c:v>
                      </c:pt>
                      <c:pt idx="12">
                        <c:v>598.88966049382748</c:v>
                      </c:pt>
                      <c:pt idx="13">
                        <c:v>505.00077160493856</c:v>
                      </c:pt>
                      <c:pt idx="14">
                        <c:v>550.94521604938302</c:v>
                      </c:pt>
                      <c:pt idx="15">
                        <c:v>341.22299382716074</c:v>
                      </c:pt>
                      <c:pt idx="16">
                        <c:v>754.72299382716085</c:v>
                      </c:pt>
                      <c:pt idx="17">
                        <c:v>12.445216049382671</c:v>
                      </c:pt>
                      <c:pt idx="18">
                        <c:v>2.1674382716049569</c:v>
                      </c:pt>
                      <c:pt idx="19">
                        <c:v>994.00077160493788</c:v>
                      </c:pt>
                      <c:pt idx="20">
                        <c:v>1808.6118827160487</c:v>
                      </c:pt>
                      <c:pt idx="21">
                        <c:v>1124.111882716049</c:v>
                      </c:pt>
                      <c:pt idx="22">
                        <c:v>651.66743827160462</c:v>
                      </c:pt>
                      <c:pt idx="23">
                        <c:v>341.22299382716074</c:v>
                      </c:pt>
                      <c:pt idx="24">
                        <c:v>700.77854938271639</c:v>
                      </c:pt>
                      <c:pt idx="25">
                        <c:v>505.00077160493856</c:v>
                      </c:pt>
                      <c:pt idx="26">
                        <c:v>550.94521604938302</c:v>
                      </c:pt>
                      <c:pt idx="27">
                        <c:v>461.05632716049411</c:v>
                      </c:pt>
                      <c:pt idx="28">
                        <c:v>928.55632716049422</c:v>
                      </c:pt>
                      <c:pt idx="29">
                        <c:v>0.27854938271604274</c:v>
                      </c:pt>
                      <c:pt idx="30">
                        <c:v>2.3341049382715857</c:v>
                      </c:pt>
                      <c:pt idx="31">
                        <c:v>1192.1674382716044</c:v>
                      </c:pt>
                      <c:pt idx="32">
                        <c:v>1484.3896604938266</c:v>
                      </c:pt>
                      <c:pt idx="33">
                        <c:v>1334.2785493827155</c:v>
                      </c:pt>
                      <c:pt idx="34">
                        <c:v>703.72299382716017</c:v>
                      </c:pt>
                      <c:pt idx="35">
                        <c:v>271.33410493827182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D3A-41AE-8BDE-21AC6FE1CFB8}"/>
                  </c:ext>
                </c:extLst>
              </c15:ser>
            </c15:filteredLineSeries>
          </c:ext>
        </c:extLst>
      </c:lineChart>
      <c:dateAx>
        <c:axId val="2957639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63472"/>
        <c:crosses val="autoZero"/>
        <c:auto val="1"/>
        <c:lblOffset val="100"/>
        <c:baseTimeUnit val="months"/>
      </c:dateAx>
      <c:valAx>
        <c:axId val="2957634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76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'WEIGHTED AVERAGE - SPAN OF 5'!$B$1</c:f>
              <c:strCache>
                <c:ptCount val="1"/>
                <c:pt idx="0">
                  <c:v>Employees (Y)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'WEIGHTED AVERAGE - SPAN OF 5'!$A$2:$A$38</c:f>
              <c:numCache>
                <c:formatCode>mmm\-yy</c:formatCode>
                <c:ptCount val="37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</c:numCache>
            </c:numRef>
          </c:cat>
          <c:val>
            <c:numRef>
              <c:f>'WEIGHTED AVERAGE - SPAN OF 5'!$B$2:$B$38</c:f>
              <c:numCache>
                <c:formatCode>General</c:formatCode>
                <c:ptCount val="37"/>
                <c:pt idx="0">
                  <c:v>350</c:v>
                </c:pt>
                <c:pt idx="1">
                  <c:v>348</c:v>
                </c:pt>
                <c:pt idx="2">
                  <c:v>353</c:v>
                </c:pt>
                <c:pt idx="3">
                  <c:v>353</c:v>
                </c:pt>
                <c:pt idx="4">
                  <c:v>349</c:v>
                </c:pt>
                <c:pt idx="5">
                  <c:v>377</c:v>
                </c:pt>
                <c:pt idx="6">
                  <c:v>375</c:v>
                </c:pt>
                <c:pt idx="7">
                  <c:v>403</c:v>
                </c:pt>
                <c:pt idx="8">
                  <c:v>412</c:v>
                </c:pt>
                <c:pt idx="9">
                  <c:v>409</c:v>
                </c:pt>
                <c:pt idx="10">
                  <c:v>398</c:v>
                </c:pt>
                <c:pt idx="11">
                  <c:v>357</c:v>
                </c:pt>
                <c:pt idx="12">
                  <c:v>349</c:v>
                </c:pt>
                <c:pt idx="13">
                  <c:v>351</c:v>
                </c:pt>
                <c:pt idx="14">
                  <c:v>350</c:v>
                </c:pt>
                <c:pt idx="15">
                  <c:v>355</c:v>
                </c:pt>
                <c:pt idx="16">
                  <c:v>346</c:v>
                </c:pt>
                <c:pt idx="17">
                  <c:v>377</c:v>
                </c:pt>
                <c:pt idx="18">
                  <c:v>372</c:v>
                </c:pt>
                <c:pt idx="19">
                  <c:v>405</c:v>
                </c:pt>
                <c:pt idx="20">
                  <c:v>416</c:v>
                </c:pt>
                <c:pt idx="21">
                  <c:v>407</c:v>
                </c:pt>
                <c:pt idx="22">
                  <c:v>399</c:v>
                </c:pt>
                <c:pt idx="23">
                  <c:v>355</c:v>
                </c:pt>
                <c:pt idx="24">
                  <c:v>347</c:v>
                </c:pt>
                <c:pt idx="25">
                  <c:v>351</c:v>
                </c:pt>
                <c:pt idx="26">
                  <c:v>350</c:v>
                </c:pt>
                <c:pt idx="27">
                  <c:v>352</c:v>
                </c:pt>
                <c:pt idx="28">
                  <c:v>343</c:v>
                </c:pt>
                <c:pt idx="29">
                  <c:v>374</c:v>
                </c:pt>
                <c:pt idx="30">
                  <c:v>375</c:v>
                </c:pt>
                <c:pt idx="31">
                  <c:v>408</c:v>
                </c:pt>
                <c:pt idx="32">
                  <c:v>412</c:v>
                </c:pt>
                <c:pt idx="33">
                  <c:v>410</c:v>
                </c:pt>
                <c:pt idx="34">
                  <c:v>400</c:v>
                </c:pt>
                <c:pt idx="35">
                  <c:v>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90-499F-AB31-E7F959C5C787}"/>
            </c:ext>
          </c:extLst>
        </c:ser>
        <c:ser>
          <c:idx val="1"/>
          <c:order val="1"/>
          <c:tx>
            <c:strRef>
              <c:f>'WEIGHTED AVERAGE - SPAN OF 5'!$C$1</c:f>
              <c:strCache>
                <c:ptCount val="1"/>
                <c:pt idx="0">
                  <c:v>Forecast (F)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'WEIGHTED AVERAGE - SPAN OF 5'!$A$2:$A$38</c:f>
              <c:numCache>
                <c:formatCode>mmm\-yy</c:formatCode>
                <c:ptCount val="37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</c:numCache>
            </c:numRef>
          </c:cat>
          <c:val>
            <c:numRef>
              <c:f>'WEIGHTED AVERAGE - SPAN OF 5'!$C$2:$C$38</c:f>
              <c:numCache>
                <c:formatCode>General</c:formatCode>
                <c:ptCount val="37"/>
                <c:pt idx="5">
                  <c:v>350.6</c:v>
                </c:pt>
                <c:pt idx="6">
                  <c:v>356</c:v>
                </c:pt>
                <c:pt idx="7">
                  <c:v>361.4</c:v>
                </c:pt>
                <c:pt idx="8">
                  <c:v>371.4</c:v>
                </c:pt>
                <c:pt idx="9">
                  <c:v>383.2</c:v>
                </c:pt>
                <c:pt idx="10">
                  <c:v>395.2</c:v>
                </c:pt>
                <c:pt idx="11">
                  <c:v>399.4</c:v>
                </c:pt>
                <c:pt idx="12">
                  <c:v>395.8</c:v>
                </c:pt>
                <c:pt idx="13">
                  <c:v>385</c:v>
                </c:pt>
                <c:pt idx="14">
                  <c:v>372.8</c:v>
                </c:pt>
                <c:pt idx="15">
                  <c:v>361</c:v>
                </c:pt>
                <c:pt idx="16">
                  <c:v>352.4</c:v>
                </c:pt>
                <c:pt idx="17">
                  <c:v>350.2</c:v>
                </c:pt>
                <c:pt idx="18">
                  <c:v>355.8</c:v>
                </c:pt>
                <c:pt idx="19">
                  <c:v>360</c:v>
                </c:pt>
                <c:pt idx="20">
                  <c:v>371</c:v>
                </c:pt>
                <c:pt idx="21">
                  <c:v>383.2</c:v>
                </c:pt>
                <c:pt idx="22">
                  <c:v>395.4</c:v>
                </c:pt>
                <c:pt idx="23">
                  <c:v>399.8</c:v>
                </c:pt>
                <c:pt idx="24">
                  <c:v>396.4</c:v>
                </c:pt>
                <c:pt idx="25">
                  <c:v>384.8</c:v>
                </c:pt>
                <c:pt idx="26">
                  <c:v>371.8</c:v>
                </c:pt>
                <c:pt idx="27">
                  <c:v>360.4</c:v>
                </c:pt>
                <c:pt idx="28">
                  <c:v>351</c:v>
                </c:pt>
                <c:pt idx="29">
                  <c:v>348.6</c:v>
                </c:pt>
                <c:pt idx="30">
                  <c:v>354</c:v>
                </c:pt>
                <c:pt idx="31">
                  <c:v>358.8</c:v>
                </c:pt>
                <c:pt idx="32">
                  <c:v>370.4</c:v>
                </c:pt>
                <c:pt idx="33">
                  <c:v>382.4</c:v>
                </c:pt>
                <c:pt idx="34">
                  <c:v>395.8</c:v>
                </c:pt>
                <c:pt idx="35">
                  <c:v>401</c:v>
                </c:pt>
                <c:pt idx="36">
                  <c:v>397.4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90-499F-AB31-E7F959C5C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4808175"/>
        <c:axId val="1984807215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'WEIGHTED AVERAGE - SPAN OF 5'!$D$1</c15:sqref>
                        </c15:formulaRef>
                      </c:ext>
                    </c:extLst>
                    <c:strCache>
                      <c:ptCount val="1"/>
                      <c:pt idx="0">
                        <c:v>Error (Y-F)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</a:ln>
                  <a:effectLst>
                    <a:glow rad="139700">
                      <a:schemeClr val="accent3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'WEIGHTED AVERAGE - SPAN OF 5'!$A$2:$A$38</c15:sqref>
                        </c15:formulaRef>
                      </c:ext>
                    </c:extLst>
                    <c:numCache>
                      <c:formatCode>mmm\-yy</c:formatCode>
                      <c:ptCount val="37"/>
                      <c:pt idx="0">
                        <c:v>43101</c:v>
                      </c:pt>
                      <c:pt idx="1">
                        <c:v>43132</c:v>
                      </c:pt>
                      <c:pt idx="2">
                        <c:v>43160</c:v>
                      </c:pt>
                      <c:pt idx="3">
                        <c:v>43191</c:v>
                      </c:pt>
                      <c:pt idx="4">
                        <c:v>43221</c:v>
                      </c:pt>
                      <c:pt idx="5">
                        <c:v>43252</c:v>
                      </c:pt>
                      <c:pt idx="6">
                        <c:v>43282</c:v>
                      </c:pt>
                      <c:pt idx="7">
                        <c:v>43313</c:v>
                      </c:pt>
                      <c:pt idx="8">
                        <c:v>43344</c:v>
                      </c:pt>
                      <c:pt idx="9">
                        <c:v>43374</c:v>
                      </c:pt>
                      <c:pt idx="10">
                        <c:v>43405</c:v>
                      </c:pt>
                      <c:pt idx="11">
                        <c:v>43435</c:v>
                      </c:pt>
                      <c:pt idx="12">
                        <c:v>43466</c:v>
                      </c:pt>
                      <c:pt idx="13">
                        <c:v>43497</c:v>
                      </c:pt>
                      <c:pt idx="14">
                        <c:v>43525</c:v>
                      </c:pt>
                      <c:pt idx="15">
                        <c:v>43556</c:v>
                      </c:pt>
                      <c:pt idx="16">
                        <c:v>43586</c:v>
                      </c:pt>
                      <c:pt idx="17">
                        <c:v>43617</c:v>
                      </c:pt>
                      <c:pt idx="18">
                        <c:v>43647</c:v>
                      </c:pt>
                      <c:pt idx="19">
                        <c:v>43678</c:v>
                      </c:pt>
                      <c:pt idx="20">
                        <c:v>43709</c:v>
                      </c:pt>
                      <c:pt idx="21">
                        <c:v>43739</c:v>
                      </c:pt>
                      <c:pt idx="22">
                        <c:v>43770</c:v>
                      </c:pt>
                      <c:pt idx="23">
                        <c:v>43800</c:v>
                      </c:pt>
                      <c:pt idx="24">
                        <c:v>43831</c:v>
                      </c:pt>
                      <c:pt idx="25">
                        <c:v>43862</c:v>
                      </c:pt>
                      <c:pt idx="26">
                        <c:v>43891</c:v>
                      </c:pt>
                      <c:pt idx="27">
                        <c:v>43922</c:v>
                      </c:pt>
                      <c:pt idx="28">
                        <c:v>43952</c:v>
                      </c:pt>
                      <c:pt idx="29">
                        <c:v>43983</c:v>
                      </c:pt>
                      <c:pt idx="30">
                        <c:v>44013</c:v>
                      </c:pt>
                      <c:pt idx="31">
                        <c:v>44044</c:v>
                      </c:pt>
                      <c:pt idx="32">
                        <c:v>44075</c:v>
                      </c:pt>
                      <c:pt idx="33">
                        <c:v>44105</c:v>
                      </c:pt>
                      <c:pt idx="34">
                        <c:v>44136</c:v>
                      </c:pt>
                      <c:pt idx="35">
                        <c:v>44166</c:v>
                      </c:pt>
                      <c:pt idx="36">
                        <c:v>44197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'WEIGHTED AVERAGE - SPAN OF 5'!$D$2:$D$38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5">
                        <c:v>26.399999999999977</c:v>
                      </c:pt>
                      <c:pt idx="6">
                        <c:v>19</c:v>
                      </c:pt>
                      <c:pt idx="7">
                        <c:v>41.600000000000023</c:v>
                      </c:pt>
                      <c:pt idx="8">
                        <c:v>40.600000000000023</c:v>
                      </c:pt>
                      <c:pt idx="9">
                        <c:v>25.800000000000011</c:v>
                      </c:pt>
                      <c:pt idx="10">
                        <c:v>2.8000000000000114</c:v>
                      </c:pt>
                      <c:pt idx="11">
                        <c:v>-42.399999999999977</c:v>
                      </c:pt>
                      <c:pt idx="12">
                        <c:v>-46.800000000000011</c:v>
                      </c:pt>
                      <c:pt idx="13">
                        <c:v>-34</c:v>
                      </c:pt>
                      <c:pt idx="14">
                        <c:v>-22.800000000000011</c:v>
                      </c:pt>
                      <c:pt idx="15">
                        <c:v>-6</c:v>
                      </c:pt>
                      <c:pt idx="16">
                        <c:v>-6.3999999999999773</c:v>
                      </c:pt>
                      <c:pt idx="17">
                        <c:v>26.800000000000011</c:v>
                      </c:pt>
                      <c:pt idx="18">
                        <c:v>16.199999999999989</c:v>
                      </c:pt>
                      <c:pt idx="19">
                        <c:v>45</c:v>
                      </c:pt>
                      <c:pt idx="20">
                        <c:v>45</c:v>
                      </c:pt>
                      <c:pt idx="21">
                        <c:v>23.800000000000011</c:v>
                      </c:pt>
                      <c:pt idx="22">
                        <c:v>3.6000000000000227</c:v>
                      </c:pt>
                      <c:pt idx="23">
                        <c:v>-44.800000000000011</c:v>
                      </c:pt>
                      <c:pt idx="24">
                        <c:v>-49.399999999999977</c:v>
                      </c:pt>
                      <c:pt idx="25">
                        <c:v>-33.800000000000011</c:v>
                      </c:pt>
                      <c:pt idx="26">
                        <c:v>-21.800000000000011</c:v>
                      </c:pt>
                      <c:pt idx="27">
                        <c:v>-8.3999999999999773</c:v>
                      </c:pt>
                      <c:pt idx="28">
                        <c:v>-8</c:v>
                      </c:pt>
                      <c:pt idx="29">
                        <c:v>25.399999999999977</c:v>
                      </c:pt>
                      <c:pt idx="30">
                        <c:v>21</c:v>
                      </c:pt>
                      <c:pt idx="31">
                        <c:v>49.199999999999989</c:v>
                      </c:pt>
                      <c:pt idx="32">
                        <c:v>41.600000000000023</c:v>
                      </c:pt>
                      <c:pt idx="33">
                        <c:v>27.600000000000023</c:v>
                      </c:pt>
                      <c:pt idx="34">
                        <c:v>4.1999999999999886</c:v>
                      </c:pt>
                      <c:pt idx="35">
                        <c:v>-44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D90-499F-AB31-E7F959C5C78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'WEIGHTED AVERAGE - SPAN OF 5'!$E$1</c15:sqref>
                        </c15:formulaRef>
                      </c:ext>
                    </c:extLst>
                    <c:strCache>
                      <c:ptCount val="1"/>
                      <c:pt idx="0">
                        <c:v>Absolute Error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</a:ln>
                  <a:effectLst>
                    <a:glow rad="139700">
                      <a:schemeClr val="accent4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'WEIGHTED AVERAGE - SPAN OF 5'!$A$2:$A$38</c15:sqref>
                        </c15:formulaRef>
                      </c:ext>
                    </c:extLst>
                    <c:numCache>
                      <c:formatCode>mmm\-yy</c:formatCode>
                      <c:ptCount val="37"/>
                      <c:pt idx="0">
                        <c:v>43101</c:v>
                      </c:pt>
                      <c:pt idx="1">
                        <c:v>43132</c:v>
                      </c:pt>
                      <c:pt idx="2">
                        <c:v>43160</c:v>
                      </c:pt>
                      <c:pt idx="3">
                        <c:v>43191</c:v>
                      </c:pt>
                      <c:pt idx="4">
                        <c:v>43221</c:v>
                      </c:pt>
                      <c:pt idx="5">
                        <c:v>43252</c:v>
                      </c:pt>
                      <c:pt idx="6">
                        <c:v>43282</c:v>
                      </c:pt>
                      <c:pt idx="7">
                        <c:v>43313</c:v>
                      </c:pt>
                      <c:pt idx="8">
                        <c:v>43344</c:v>
                      </c:pt>
                      <c:pt idx="9">
                        <c:v>43374</c:v>
                      </c:pt>
                      <c:pt idx="10">
                        <c:v>43405</c:v>
                      </c:pt>
                      <c:pt idx="11">
                        <c:v>43435</c:v>
                      </c:pt>
                      <c:pt idx="12">
                        <c:v>43466</c:v>
                      </c:pt>
                      <c:pt idx="13">
                        <c:v>43497</c:v>
                      </c:pt>
                      <c:pt idx="14">
                        <c:v>43525</c:v>
                      </c:pt>
                      <c:pt idx="15">
                        <c:v>43556</c:v>
                      </c:pt>
                      <c:pt idx="16">
                        <c:v>43586</c:v>
                      </c:pt>
                      <c:pt idx="17">
                        <c:v>43617</c:v>
                      </c:pt>
                      <c:pt idx="18">
                        <c:v>43647</c:v>
                      </c:pt>
                      <c:pt idx="19">
                        <c:v>43678</c:v>
                      </c:pt>
                      <c:pt idx="20">
                        <c:v>43709</c:v>
                      </c:pt>
                      <c:pt idx="21">
                        <c:v>43739</c:v>
                      </c:pt>
                      <c:pt idx="22">
                        <c:v>43770</c:v>
                      </c:pt>
                      <c:pt idx="23">
                        <c:v>43800</c:v>
                      </c:pt>
                      <c:pt idx="24">
                        <c:v>43831</c:v>
                      </c:pt>
                      <c:pt idx="25">
                        <c:v>43862</c:v>
                      </c:pt>
                      <c:pt idx="26">
                        <c:v>43891</c:v>
                      </c:pt>
                      <c:pt idx="27">
                        <c:v>43922</c:v>
                      </c:pt>
                      <c:pt idx="28">
                        <c:v>43952</c:v>
                      </c:pt>
                      <c:pt idx="29">
                        <c:v>43983</c:v>
                      </c:pt>
                      <c:pt idx="30">
                        <c:v>44013</c:v>
                      </c:pt>
                      <c:pt idx="31">
                        <c:v>44044</c:v>
                      </c:pt>
                      <c:pt idx="32">
                        <c:v>44075</c:v>
                      </c:pt>
                      <c:pt idx="33">
                        <c:v>44105</c:v>
                      </c:pt>
                      <c:pt idx="34">
                        <c:v>44136</c:v>
                      </c:pt>
                      <c:pt idx="35">
                        <c:v>44166</c:v>
                      </c:pt>
                      <c:pt idx="36">
                        <c:v>44197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'WEIGHTED AVERAGE - SPAN OF 5'!$E$2:$E$38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5">
                        <c:v>26.399999999999977</c:v>
                      </c:pt>
                      <c:pt idx="6">
                        <c:v>19</c:v>
                      </c:pt>
                      <c:pt idx="7">
                        <c:v>41.600000000000023</c:v>
                      </c:pt>
                      <c:pt idx="8">
                        <c:v>40.600000000000023</c:v>
                      </c:pt>
                      <c:pt idx="9">
                        <c:v>25.800000000000011</c:v>
                      </c:pt>
                      <c:pt idx="10">
                        <c:v>2.8000000000000114</c:v>
                      </c:pt>
                      <c:pt idx="11">
                        <c:v>42.399999999999977</c:v>
                      </c:pt>
                      <c:pt idx="12">
                        <c:v>46.800000000000011</c:v>
                      </c:pt>
                      <c:pt idx="13">
                        <c:v>34</c:v>
                      </c:pt>
                      <c:pt idx="14">
                        <c:v>22.800000000000011</c:v>
                      </c:pt>
                      <c:pt idx="15">
                        <c:v>6</c:v>
                      </c:pt>
                      <c:pt idx="16">
                        <c:v>6.3999999999999773</c:v>
                      </c:pt>
                      <c:pt idx="17">
                        <c:v>26.800000000000011</c:v>
                      </c:pt>
                      <c:pt idx="18">
                        <c:v>16.199999999999989</c:v>
                      </c:pt>
                      <c:pt idx="19">
                        <c:v>45</c:v>
                      </c:pt>
                      <c:pt idx="20">
                        <c:v>45</c:v>
                      </c:pt>
                      <c:pt idx="21">
                        <c:v>23.800000000000011</c:v>
                      </c:pt>
                      <c:pt idx="22">
                        <c:v>3.6000000000000227</c:v>
                      </c:pt>
                      <c:pt idx="23">
                        <c:v>44.800000000000011</c:v>
                      </c:pt>
                      <c:pt idx="24">
                        <c:v>49.399999999999977</c:v>
                      </c:pt>
                      <c:pt idx="25">
                        <c:v>33.800000000000011</c:v>
                      </c:pt>
                      <c:pt idx="26">
                        <c:v>21.800000000000011</c:v>
                      </c:pt>
                      <c:pt idx="27">
                        <c:v>8.3999999999999773</c:v>
                      </c:pt>
                      <c:pt idx="28">
                        <c:v>8</c:v>
                      </c:pt>
                      <c:pt idx="29">
                        <c:v>25.399999999999977</c:v>
                      </c:pt>
                      <c:pt idx="30">
                        <c:v>21</c:v>
                      </c:pt>
                      <c:pt idx="31">
                        <c:v>49.199999999999989</c:v>
                      </c:pt>
                      <c:pt idx="32">
                        <c:v>41.600000000000023</c:v>
                      </c:pt>
                      <c:pt idx="33">
                        <c:v>27.600000000000023</c:v>
                      </c:pt>
                      <c:pt idx="34">
                        <c:v>4.1999999999999886</c:v>
                      </c:pt>
                      <c:pt idx="35">
                        <c:v>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D90-499F-AB31-E7F959C5C78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'WEIGHTED AVERAGE - SPAN OF 5'!$F$1</c15:sqref>
                        </c15:formulaRef>
                      </c:ext>
                    </c:extLst>
                    <c:strCache>
                      <c:ptCount val="1"/>
                      <c:pt idx="0">
                        <c:v>Squared Error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</a:ln>
                  <a:effectLst>
                    <a:glow rad="139700">
                      <a:schemeClr val="accent5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'WEIGHTED AVERAGE - SPAN OF 5'!$A$2:$A$38</c15:sqref>
                        </c15:formulaRef>
                      </c:ext>
                    </c:extLst>
                    <c:numCache>
                      <c:formatCode>mmm\-yy</c:formatCode>
                      <c:ptCount val="37"/>
                      <c:pt idx="0">
                        <c:v>43101</c:v>
                      </c:pt>
                      <c:pt idx="1">
                        <c:v>43132</c:v>
                      </c:pt>
                      <c:pt idx="2">
                        <c:v>43160</c:v>
                      </c:pt>
                      <c:pt idx="3">
                        <c:v>43191</c:v>
                      </c:pt>
                      <c:pt idx="4">
                        <c:v>43221</c:v>
                      </c:pt>
                      <c:pt idx="5">
                        <c:v>43252</c:v>
                      </c:pt>
                      <c:pt idx="6">
                        <c:v>43282</c:v>
                      </c:pt>
                      <c:pt idx="7">
                        <c:v>43313</c:v>
                      </c:pt>
                      <c:pt idx="8">
                        <c:v>43344</c:v>
                      </c:pt>
                      <c:pt idx="9">
                        <c:v>43374</c:v>
                      </c:pt>
                      <c:pt idx="10">
                        <c:v>43405</c:v>
                      </c:pt>
                      <c:pt idx="11">
                        <c:v>43435</c:v>
                      </c:pt>
                      <c:pt idx="12">
                        <c:v>43466</c:v>
                      </c:pt>
                      <c:pt idx="13">
                        <c:v>43497</c:v>
                      </c:pt>
                      <c:pt idx="14">
                        <c:v>43525</c:v>
                      </c:pt>
                      <c:pt idx="15">
                        <c:v>43556</c:v>
                      </c:pt>
                      <c:pt idx="16">
                        <c:v>43586</c:v>
                      </c:pt>
                      <c:pt idx="17">
                        <c:v>43617</c:v>
                      </c:pt>
                      <c:pt idx="18">
                        <c:v>43647</c:v>
                      </c:pt>
                      <c:pt idx="19">
                        <c:v>43678</c:v>
                      </c:pt>
                      <c:pt idx="20">
                        <c:v>43709</c:v>
                      </c:pt>
                      <c:pt idx="21">
                        <c:v>43739</c:v>
                      </c:pt>
                      <c:pt idx="22">
                        <c:v>43770</c:v>
                      </c:pt>
                      <c:pt idx="23">
                        <c:v>43800</c:v>
                      </c:pt>
                      <c:pt idx="24">
                        <c:v>43831</c:v>
                      </c:pt>
                      <c:pt idx="25">
                        <c:v>43862</c:v>
                      </c:pt>
                      <c:pt idx="26">
                        <c:v>43891</c:v>
                      </c:pt>
                      <c:pt idx="27">
                        <c:v>43922</c:v>
                      </c:pt>
                      <c:pt idx="28">
                        <c:v>43952</c:v>
                      </c:pt>
                      <c:pt idx="29">
                        <c:v>43983</c:v>
                      </c:pt>
                      <c:pt idx="30">
                        <c:v>44013</c:v>
                      </c:pt>
                      <c:pt idx="31">
                        <c:v>44044</c:v>
                      </c:pt>
                      <c:pt idx="32">
                        <c:v>44075</c:v>
                      </c:pt>
                      <c:pt idx="33">
                        <c:v>44105</c:v>
                      </c:pt>
                      <c:pt idx="34">
                        <c:v>44136</c:v>
                      </c:pt>
                      <c:pt idx="35">
                        <c:v>44166</c:v>
                      </c:pt>
                      <c:pt idx="36">
                        <c:v>44197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'WEIGHTED AVERAGE - SPAN OF 5'!$F$2:$F$38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5">
                        <c:v>696.95999999999879</c:v>
                      </c:pt>
                      <c:pt idx="6">
                        <c:v>361</c:v>
                      </c:pt>
                      <c:pt idx="7">
                        <c:v>1730.560000000002</c:v>
                      </c:pt>
                      <c:pt idx="8">
                        <c:v>1648.3600000000019</c:v>
                      </c:pt>
                      <c:pt idx="9">
                        <c:v>665.64000000000055</c:v>
                      </c:pt>
                      <c:pt idx="10">
                        <c:v>7.8400000000000638</c:v>
                      </c:pt>
                      <c:pt idx="11">
                        <c:v>1797.7599999999982</c:v>
                      </c:pt>
                      <c:pt idx="12">
                        <c:v>2190.2400000000011</c:v>
                      </c:pt>
                      <c:pt idx="13">
                        <c:v>1156</c:v>
                      </c:pt>
                      <c:pt idx="14">
                        <c:v>519.84000000000049</c:v>
                      </c:pt>
                      <c:pt idx="15">
                        <c:v>36</c:v>
                      </c:pt>
                      <c:pt idx="16">
                        <c:v>40.95999999999971</c:v>
                      </c:pt>
                      <c:pt idx="17">
                        <c:v>718.24000000000058</c:v>
                      </c:pt>
                      <c:pt idx="18">
                        <c:v>262.43999999999966</c:v>
                      </c:pt>
                      <c:pt idx="19">
                        <c:v>2025</c:v>
                      </c:pt>
                      <c:pt idx="20">
                        <c:v>2025</c:v>
                      </c:pt>
                      <c:pt idx="21">
                        <c:v>566.44000000000051</c:v>
                      </c:pt>
                      <c:pt idx="22">
                        <c:v>12.960000000000164</c:v>
                      </c:pt>
                      <c:pt idx="23">
                        <c:v>2007.0400000000011</c:v>
                      </c:pt>
                      <c:pt idx="24">
                        <c:v>2440.3599999999979</c:v>
                      </c:pt>
                      <c:pt idx="25">
                        <c:v>1142.4400000000007</c:v>
                      </c:pt>
                      <c:pt idx="26">
                        <c:v>475.24000000000052</c:v>
                      </c:pt>
                      <c:pt idx="27">
                        <c:v>70.559999999999619</c:v>
                      </c:pt>
                      <c:pt idx="28">
                        <c:v>64</c:v>
                      </c:pt>
                      <c:pt idx="29">
                        <c:v>645.15999999999883</c:v>
                      </c:pt>
                      <c:pt idx="30">
                        <c:v>441</c:v>
                      </c:pt>
                      <c:pt idx="31">
                        <c:v>2420.639999999999</c:v>
                      </c:pt>
                      <c:pt idx="32">
                        <c:v>1730.560000000002</c:v>
                      </c:pt>
                      <c:pt idx="33">
                        <c:v>761.76000000000124</c:v>
                      </c:pt>
                      <c:pt idx="34">
                        <c:v>17.639999999999905</c:v>
                      </c:pt>
                      <c:pt idx="35">
                        <c:v>1936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D90-499F-AB31-E7F959C5C787}"/>
                  </c:ext>
                </c:extLst>
              </c15:ser>
            </c15:filteredLineSeries>
          </c:ext>
        </c:extLst>
      </c:lineChart>
      <c:dateAx>
        <c:axId val="198480817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807215"/>
        <c:crosses val="autoZero"/>
        <c:auto val="1"/>
        <c:lblOffset val="100"/>
        <c:baseTimeUnit val="months"/>
      </c:dateAx>
      <c:valAx>
        <c:axId val="19848072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80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'WEIGHTED AVERAGE - SPAN OF  3'!$B$1</c:f>
              <c:strCache>
                <c:ptCount val="1"/>
                <c:pt idx="0">
                  <c:v>Employees (Y)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'WEIGHTED AVERAGE - SPAN OF  3'!$A$2:$A$38</c:f>
              <c:numCache>
                <c:formatCode>mmm\-yy</c:formatCode>
                <c:ptCount val="37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</c:numCache>
            </c:numRef>
          </c:cat>
          <c:val>
            <c:numRef>
              <c:f>'WEIGHTED AVERAGE - SPAN OF  3'!$B$2:$B$38</c:f>
              <c:numCache>
                <c:formatCode>General</c:formatCode>
                <c:ptCount val="37"/>
                <c:pt idx="0">
                  <c:v>350</c:v>
                </c:pt>
                <c:pt idx="1">
                  <c:v>348</c:v>
                </c:pt>
                <c:pt idx="2">
                  <c:v>353</c:v>
                </c:pt>
                <c:pt idx="3">
                  <c:v>353</c:v>
                </c:pt>
                <c:pt idx="4">
                  <c:v>349</c:v>
                </c:pt>
                <c:pt idx="5">
                  <c:v>377</c:v>
                </c:pt>
                <c:pt idx="6">
                  <c:v>375</c:v>
                </c:pt>
                <c:pt idx="7">
                  <c:v>403</c:v>
                </c:pt>
                <c:pt idx="8">
                  <c:v>412</c:v>
                </c:pt>
                <c:pt idx="9">
                  <c:v>409</c:v>
                </c:pt>
                <c:pt idx="10">
                  <c:v>398</c:v>
                </c:pt>
                <c:pt idx="11">
                  <c:v>357</c:v>
                </c:pt>
                <c:pt idx="12">
                  <c:v>349</c:v>
                </c:pt>
                <c:pt idx="13">
                  <c:v>351</c:v>
                </c:pt>
                <c:pt idx="14">
                  <c:v>350</c:v>
                </c:pt>
                <c:pt idx="15">
                  <c:v>355</c:v>
                </c:pt>
                <c:pt idx="16">
                  <c:v>346</c:v>
                </c:pt>
                <c:pt idx="17">
                  <c:v>377</c:v>
                </c:pt>
                <c:pt idx="18">
                  <c:v>372</c:v>
                </c:pt>
                <c:pt idx="19">
                  <c:v>405</c:v>
                </c:pt>
                <c:pt idx="20">
                  <c:v>416</c:v>
                </c:pt>
                <c:pt idx="21">
                  <c:v>407</c:v>
                </c:pt>
                <c:pt idx="22">
                  <c:v>399</c:v>
                </c:pt>
                <c:pt idx="23">
                  <c:v>355</c:v>
                </c:pt>
                <c:pt idx="24">
                  <c:v>347</c:v>
                </c:pt>
                <c:pt idx="25">
                  <c:v>351</c:v>
                </c:pt>
                <c:pt idx="26">
                  <c:v>350</c:v>
                </c:pt>
                <c:pt idx="27">
                  <c:v>352</c:v>
                </c:pt>
                <c:pt idx="28">
                  <c:v>343</c:v>
                </c:pt>
                <c:pt idx="29">
                  <c:v>374</c:v>
                </c:pt>
                <c:pt idx="30">
                  <c:v>375</c:v>
                </c:pt>
                <c:pt idx="31">
                  <c:v>408</c:v>
                </c:pt>
                <c:pt idx="32">
                  <c:v>412</c:v>
                </c:pt>
                <c:pt idx="33">
                  <c:v>410</c:v>
                </c:pt>
                <c:pt idx="34">
                  <c:v>400</c:v>
                </c:pt>
                <c:pt idx="35">
                  <c:v>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B6-45E0-BECE-94AE15DCBD41}"/>
            </c:ext>
          </c:extLst>
        </c:ser>
        <c:ser>
          <c:idx val="1"/>
          <c:order val="1"/>
          <c:tx>
            <c:strRef>
              <c:f>'WEIGHTED AVERAGE - SPAN OF  3'!$C$1</c:f>
              <c:strCache>
                <c:ptCount val="1"/>
                <c:pt idx="0">
                  <c:v>Forecast (F)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'WEIGHTED AVERAGE - SPAN OF  3'!$A$2:$A$38</c:f>
              <c:numCache>
                <c:formatCode>mmm\-yy</c:formatCode>
                <c:ptCount val="37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</c:numCache>
            </c:numRef>
          </c:cat>
          <c:val>
            <c:numRef>
              <c:f>'WEIGHTED AVERAGE - SPAN OF  3'!$C$2:$C$38</c:f>
              <c:numCache>
                <c:formatCode>General</c:formatCode>
                <c:ptCount val="37"/>
                <c:pt idx="3">
                  <c:v>350.33333333333331</c:v>
                </c:pt>
                <c:pt idx="4">
                  <c:v>351.33333333333331</c:v>
                </c:pt>
                <c:pt idx="5">
                  <c:v>351.66666666666669</c:v>
                </c:pt>
                <c:pt idx="6">
                  <c:v>359.66666666666669</c:v>
                </c:pt>
                <c:pt idx="7">
                  <c:v>367</c:v>
                </c:pt>
                <c:pt idx="8">
                  <c:v>385</c:v>
                </c:pt>
                <c:pt idx="9">
                  <c:v>396.66666666666669</c:v>
                </c:pt>
                <c:pt idx="10">
                  <c:v>408</c:v>
                </c:pt>
                <c:pt idx="11">
                  <c:v>406.33333333333331</c:v>
                </c:pt>
                <c:pt idx="12">
                  <c:v>388</c:v>
                </c:pt>
                <c:pt idx="13">
                  <c:v>368</c:v>
                </c:pt>
                <c:pt idx="14">
                  <c:v>352.33333333333331</c:v>
                </c:pt>
                <c:pt idx="15">
                  <c:v>350</c:v>
                </c:pt>
                <c:pt idx="16">
                  <c:v>352</c:v>
                </c:pt>
                <c:pt idx="17">
                  <c:v>350.33333333333331</c:v>
                </c:pt>
                <c:pt idx="18">
                  <c:v>359.33333333333331</c:v>
                </c:pt>
                <c:pt idx="19">
                  <c:v>365</c:v>
                </c:pt>
                <c:pt idx="20">
                  <c:v>384.66666666666669</c:v>
                </c:pt>
                <c:pt idx="21">
                  <c:v>397.66666666666669</c:v>
                </c:pt>
                <c:pt idx="22">
                  <c:v>409.33333333333331</c:v>
                </c:pt>
                <c:pt idx="23">
                  <c:v>407.33333333333331</c:v>
                </c:pt>
                <c:pt idx="24">
                  <c:v>387</c:v>
                </c:pt>
                <c:pt idx="25">
                  <c:v>367</c:v>
                </c:pt>
                <c:pt idx="26">
                  <c:v>351</c:v>
                </c:pt>
                <c:pt idx="27">
                  <c:v>349.33333333333331</c:v>
                </c:pt>
                <c:pt idx="28">
                  <c:v>351</c:v>
                </c:pt>
                <c:pt idx="29">
                  <c:v>348.33333333333331</c:v>
                </c:pt>
                <c:pt idx="30">
                  <c:v>356.33333333333331</c:v>
                </c:pt>
                <c:pt idx="31">
                  <c:v>364</c:v>
                </c:pt>
                <c:pt idx="32">
                  <c:v>385.66666666666669</c:v>
                </c:pt>
                <c:pt idx="33">
                  <c:v>398.33333333333331</c:v>
                </c:pt>
                <c:pt idx="34">
                  <c:v>410</c:v>
                </c:pt>
                <c:pt idx="35">
                  <c:v>407.33333333333331</c:v>
                </c:pt>
                <c:pt idx="36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B6-45E0-BECE-94AE15DCB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255631"/>
        <c:axId val="211825419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'WEIGHTED AVERAGE - SPAN OF  3'!$D$1</c15:sqref>
                        </c15:formulaRef>
                      </c:ext>
                    </c:extLst>
                    <c:strCache>
                      <c:ptCount val="1"/>
                      <c:pt idx="0">
                        <c:v>Error (Y-F)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</a:ln>
                  <a:effectLst>
                    <a:glow rad="139700">
                      <a:schemeClr val="accent3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'WEIGHTED AVERAGE - SPAN OF  3'!$A$2:$A$38</c15:sqref>
                        </c15:formulaRef>
                      </c:ext>
                    </c:extLst>
                    <c:numCache>
                      <c:formatCode>mmm\-yy</c:formatCode>
                      <c:ptCount val="37"/>
                      <c:pt idx="0">
                        <c:v>43101</c:v>
                      </c:pt>
                      <c:pt idx="1">
                        <c:v>43132</c:v>
                      </c:pt>
                      <c:pt idx="2">
                        <c:v>43160</c:v>
                      </c:pt>
                      <c:pt idx="3">
                        <c:v>43191</c:v>
                      </c:pt>
                      <c:pt idx="4">
                        <c:v>43221</c:v>
                      </c:pt>
                      <c:pt idx="5">
                        <c:v>43252</c:v>
                      </c:pt>
                      <c:pt idx="6">
                        <c:v>43282</c:v>
                      </c:pt>
                      <c:pt idx="7">
                        <c:v>43313</c:v>
                      </c:pt>
                      <c:pt idx="8">
                        <c:v>43344</c:v>
                      </c:pt>
                      <c:pt idx="9">
                        <c:v>43374</c:v>
                      </c:pt>
                      <c:pt idx="10">
                        <c:v>43405</c:v>
                      </c:pt>
                      <c:pt idx="11">
                        <c:v>43435</c:v>
                      </c:pt>
                      <c:pt idx="12">
                        <c:v>43466</c:v>
                      </c:pt>
                      <c:pt idx="13">
                        <c:v>43497</c:v>
                      </c:pt>
                      <c:pt idx="14">
                        <c:v>43525</c:v>
                      </c:pt>
                      <c:pt idx="15">
                        <c:v>43556</c:v>
                      </c:pt>
                      <c:pt idx="16">
                        <c:v>43586</c:v>
                      </c:pt>
                      <c:pt idx="17">
                        <c:v>43617</c:v>
                      </c:pt>
                      <c:pt idx="18">
                        <c:v>43647</c:v>
                      </c:pt>
                      <c:pt idx="19">
                        <c:v>43678</c:v>
                      </c:pt>
                      <c:pt idx="20">
                        <c:v>43709</c:v>
                      </c:pt>
                      <c:pt idx="21">
                        <c:v>43739</c:v>
                      </c:pt>
                      <c:pt idx="22">
                        <c:v>43770</c:v>
                      </c:pt>
                      <c:pt idx="23">
                        <c:v>43800</c:v>
                      </c:pt>
                      <c:pt idx="24">
                        <c:v>43831</c:v>
                      </c:pt>
                      <c:pt idx="25">
                        <c:v>43862</c:v>
                      </c:pt>
                      <c:pt idx="26">
                        <c:v>43891</c:v>
                      </c:pt>
                      <c:pt idx="27">
                        <c:v>43922</c:v>
                      </c:pt>
                      <c:pt idx="28">
                        <c:v>43952</c:v>
                      </c:pt>
                      <c:pt idx="29">
                        <c:v>43983</c:v>
                      </c:pt>
                      <c:pt idx="30">
                        <c:v>44013</c:v>
                      </c:pt>
                      <c:pt idx="31">
                        <c:v>44044</c:v>
                      </c:pt>
                      <c:pt idx="32">
                        <c:v>44075</c:v>
                      </c:pt>
                      <c:pt idx="33">
                        <c:v>44105</c:v>
                      </c:pt>
                      <c:pt idx="34">
                        <c:v>44136</c:v>
                      </c:pt>
                      <c:pt idx="35">
                        <c:v>44166</c:v>
                      </c:pt>
                      <c:pt idx="36">
                        <c:v>44197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'WEIGHTED AVERAGE - SPAN OF  3'!$D$2:$D$38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3">
                        <c:v>2.6666666666666856</c:v>
                      </c:pt>
                      <c:pt idx="4">
                        <c:v>-2.3333333333333144</c:v>
                      </c:pt>
                      <c:pt idx="5">
                        <c:v>25.333333333333314</c:v>
                      </c:pt>
                      <c:pt idx="6">
                        <c:v>15.333333333333314</c:v>
                      </c:pt>
                      <c:pt idx="7">
                        <c:v>36</c:v>
                      </c:pt>
                      <c:pt idx="8">
                        <c:v>27</c:v>
                      </c:pt>
                      <c:pt idx="9">
                        <c:v>12.333333333333314</c:v>
                      </c:pt>
                      <c:pt idx="10">
                        <c:v>-10</c:v>
                      </c:pt>
                      <c:pt idx="11">
                        <c:v>-49.333333333333314</c:v>
                      </c:pt>
                      <c:pt idx="12">
                        <c:v>-39</c:v>
                      </c:pt>
                      <c:pt idx="13">
                        <c:v>-17</c:v>
                      </c:pt>
                      <c:pt idx="14">
                        <c:v>-2.3333333333333144</c:v>
                      </c:pt>
                      <c:pt idx="15">
                        <c:v>5</c:v>
                      </c:pt>
                      <c:pt idx="16">
                        <c:v>-6</c:v>
                      </c:pt>
                      <c:pt idx="17">
                        <c:v>26.666666666666686</c:v>
                      </c:pt>
                      <c:pt idx="18">
                        <c:v>12.666666666666686</c:v>
                      </c:pt>
                      <c:pt idx="19">
                        <c:v>40</c:v>
                      </c:pt>
                      <c:pt idx="20">
                        <c:v>31.333333333333314</c:v>
                      </c:pt>
                      <c:pt idx="21">
                        <c:v>9.3333333333333144</c:v>
                      </c:pt>
                      <c:pt idx="22">
                        <c:v>-10.333333333333314</c:v>
                      </c:pt>
                      <c:pt idx="23">
                        <c:v>-52.333333333333314</c:v>
                      </c:pt>
                      <c:pt idx="24">
                        <c:v>-40</c:v>
                      </c:pt>
                      <c:pt idx="25">
                        <c:v>-16</c:v>
                      </c:pt>
                      <c:pt idx="26">
                        <c:v>-1</c:v>
                      </c:pt>
                      <c:pt idx="27">
                        <c:v>2.6666666666666856</c:v>
                      </c:pt>
                      <c:pt idx="28">
                        <c:v>-8</c:v>
                      </c:pt>
                      <c:pt idx="29">
                        <c:v>25.666666666666686</c:v>
                      </c:pt>
                      <c:pt idx="30">
                        <c:v>18.666666666666686</c:v>
                      </c:pt>
                      <c:pt idx="31">
                        <c:v>44</c:v>
                      </c:pt>
                      <c:pt idx="32">
                        <c:v>26.333333333333314</c:v>
                      </c:pt>
                      <c:pt idx="33">
                        <c:v>11.666666666666686</c:v>
                      </c:pt>
                      <c:pt idx="34">
                        <c:v>-10</c:v>
                      </c:pt>
                      <c:pt idx="35">
                        <c:v>-50.333333333333314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5B6-45E0-BECE-94AE15DCBD4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'WEIGHTED AVERAGE - SPAN OF  3'!$E$1</c15:sqref>
                        </c15:formulaRef>
                      </c:ext>
                    </c:extLst>
                    <c:strCache>
                      <c:ptCount val="1"/>
                      <c:pt idx="0">
                        <c:v>Absolute Error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</a:ln>
                  <a:effectLst>
                    <a:glow rad="139700">
                      <a:schemeClr val="accent4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'WEIGHTED AVERAGE - SPAN OF  3'!$A$2:$A$38</c15:sqref>
                        </c15:formulaRef>
                      </c:ext>
                    </c:extLst>
                    <c:numCache>
                      <c:formatCode>mmm\-yy</c:formatCode>
                      <c:ptCount val="37"/>
                      <c:pt idx="0">
                        <c:v>43101</c:v>
                      </c:pt>
                      <c:pt idx="1">
                        <c:v>43132</c:v>
                      </c:pt>
                      <c:pt idx="2">
                        <c:v>43160</c:v>
                      </c:pt>
                      <c:pt idx="3">
                        <c:v>43191</c:v>
                      </c:pt>
                      <c:pt idx="4">
                        <c:v>43221</c:v>
                      </c:pt>
                      <c:pt idx="5">
                        <c:v>43252</c:v>
                      </c:pt>
                      <c:pt idx="6">
                        <c:v>43282</c:v>
                      </c:pt>
                      <c:pt idx="7">
                        <c:v>43313</c:v>
                      </c:pt>
                      <c:pt idx="8">
                        <c:v>43344</c:v>
                      </c:pt>
                      <c:pt idx="9">
                        <c:v>43374</c:v>
                      </c:pt>
                      <c:pt idx="10">
                        <c:v>43405</c:v>
                      </c:pt>
                      <c:pt idx="11">
                        <c:v>43435</c:v>
                      </c:pt>
                      <c:pt idx="12">
                        <c:v>43466</c:v>
                      </c:pt>
                      <c:pt idx="13">
                        <c:v>43497</c:v>
                      </c:pt>
                      <c:pt idx="14">
                        <c:v>43525</c:v>
                      </c:pt>
                      <c:pt idx="15">
                        <c:v>43556</c:v>
                      </c:pt>
                      <c:pt idx="16">
                        <c:v>43586</c:v>
                      </c:pt>
                      <c:pt idx="17">
                        <c:v>43617</c:v>
                      </c:pt>
                      <c:pt idx="18">
                        <c:v>43647</c:v>
                      </c:pt>
                      <c:pt idx="19">
                        <c:v>43678</c:v>
                      </c:pt>
                      <c:pt idx="20">
                        <c:v>43709</c:v>
                      </c:pt>
                      <c:pt idx="21">
                        <c:v>43739</c:v>
                      </c:pt>
                      <c:pt idx="22">
                        <c:v>43770</c:v>
                      </c:pt>
                      <c:pt idx="23">
                        <c:v>43800</c:v>
                      </c:pt>
                      <c:pt idx="24">
                        <c:v>43831</c:v>
                      </c:pt>
                      <c:pt idx="25">
                        <c:v>43862</c:v>
                      </c:pt>
                      <c:pt idx="26">
                        <c:v>43891</c:v>
                      </c:pt>
                      <c:pt idx="27">
                        <c:v>43922</c:v>
                      </c:pt>
                      <c:pt idx="28">
                        <c:v>43952</c:v>
                      </c:pt>
                      <c:pt idx="29">
                        <c:v>43983</c:v>
                      </c:pt>
                      <c:pt idx="30">
                        <c:v>44013</c:v>
                      </c:pt>
                      <c:pt idx="31">
                        <c:v>44044</c:v>
                      </c:pt>
                      <c:pt idx="32">
                        <c:v>44075</c:v>
                      </c:pt>
                      <c:pt idx="33">
                        <c:v>44105</c:v>
                      </c:pt>
                      <c:pt idx="34">
                        <c:v>44136</c:v>
                      </c:pt>
                      <c:pt idx="35">
                        <c:v>44166</c:v>
                      </c:pt>
                      <c:pt idx="36">
                        <c:v>44197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'WEIGHTED AVERAGE - SPAN OF  3'!$E$2:$E$38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3">
                        <c:v>2.6666666666666856</c:v>
                      </c:pt>
                      <c:pt idx="4">
                        <c:v>2.3333333333333144</c:v>
                      </c:pt>
                      <c:pt idx="5">
                        <c:v>25.333333333333314</c:v>
                      </c:pt>
                      <c:pt idx="6">
                        <c:v>15.333333333333314</c:v>
                      </c:pt>
                      <c:pt idx="7">
                        <c:v>36</c:v>
                      </c:pt>
                      <c:pt idx="8">
                        <c:v>27</c:v>
                      </c:pt>
                      <c:pt idx="9">
                        <c:v>12.333333333333314</c:v>
                      </c:pt>
                      <c:pt idx="10">
                        <c:v>10</c:v>
                      </c:pt>
                      <c:pt idx="11">
                        <c:v>49.333333333333314</c:v>
                      </c:pt>
                      <c:pt idx="12">
                        <c:v>39</c:v>
                      </c:pt>
                      <c:pt idx="13">
                        <c:v>17</c:v>
                      </c:pt>
                      <c:pt idx="14">
                        <c:v>2.3333333333333144</c:v>
                      </c:pt>
                      <c:pt idx="15">
                        <c:v>5</c:v>
                      </c:pt>
                      <c:pt idx="16">
                        <c:v>6</c:v>
                      </c:pt>
                      <c:pt idx="17">
                        <c:v>26.666666666666686</c:v>
                      </c:pt>
                      <c:pt idx="18">
                        <c:v>12.666666666666686</c:v>
                      </c:pt>
                      <c:pt idx="19">
                        <c:v>40</c:v>
                      </c:pt>
                      <c:pt idx="20">
                        <c:v>31.333333333333314</c:v>
                      </c:pt>
                      <c:pt idx="21">
                        <c:v>9.3333333333333144</c:v>
                      </c:pt>
                      <c:pt idx="22">
                        <c:v>10.333333333333314</c:v>
                      </c:pt>
                      <c:pt idx="23">
                        <c:v>52.333333333333314</c:v>
                      </c:pt>
                      <c:pt idx="24">
                        <c:v>40</c:v>
                      </c:pt>
                      <c:pt idx="25">
                        <c:v>16</c:v>
                      </c:pt>
                      <c:pt idx="26">
                        <c:v>1</c:v>
                      </c:pt>
                      <c:pt idx="27">
                        <c:v>2.6666666666666856</c:v>
                      </c:pt>
                      <c:pt idx="28">
                        <c:v>8</c:v>
                      </c:pt>
                      <c:pt idx="29">
                        <c:v>25.666666666666686</c:v>
                      </c:pt>
                      <c:pt idx="30">
                        <c:v>18.666666666666686</c:v>
                      </c:pt>
                      <c:pt idx="31">
                        <c:v>44</c:v>
                      </c:pt>
                      <c:pt idx="32">
                        <c:v>26.333333333333314</c:v>
                      </c:pt>
                      <c:pt idx="33">
                        <c:v>11.666666666666686</c:v>
                      </c:pt>
                      <c:pt idx="34">
                        <c:v>10</c:v>
                      </c:pt>
                      <c:pt idx="35">
                        <c:v>50.333333333333314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5B6-45E0-BECE-94AE15DCBD4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'WEIGHTED AVERAGE - SPAN OF  3'!$F$1</c15:sqref>
                        </c15:formulaRef>
                      </c:ext>
                    </c:extLst>
                    <c:strCache>
                      <c:ptCount val="1"/>
                      <c:pt idx="0">
                        <c:v>Squared Error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</a:ln>
                  <a:effectLst>
                    <a:glow rad="139700">
                      <a:schemeClr val="accent5">
                        <a:satMod val="175000"/>
                        <a:alpha val="14000"/>
                      </a:schemeClr>
                    </a:glow>
                  </a:effectLst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'WEIGHTED AVERAGE - SPAN OF  3'!$A$2:$A$38</c15:sqref>
                        </c15:formulaRef>
                      </c:ext>
                    </c:extLst>
                    <c:numCache>
                      <c:formatCode>mmm\-yy</c:formatCode>
                      <c:ptCount val="37"/>
                      <c:pt idx="0">
                        <c:v>43101</c:v>
                      </c:pt>
                      <c:pt idx="1">
                        <c:v>43132</c:v>
                      </c:pt>
                      <c:pt idx="2">
                        <c:v>43160</c:v>
                      </c:pt>
                      <c:pt idx="3">
                        <c:v>43191</c:v>
                      </c:pt>
                      <c:pt idx="4">
                        <c:v>43221</c:v>
                      </c:pt>
                      <c:pt idx="5">
                        <c:v>43252</c:v>
                      </c:pt>
                      <c:pt idx="6">
                        <c:v>43282</c:v>
                      </c:pt>
                      <c:pt idx="7">
                        <c:v>43313</c:v>
                      </c:pt>
                      <c:pt idx="8">
                        <c:v>43344</c:v>
                      </c:pt>
                      <c:pt idx="9">
                        <c:v>43374</c:v>
                      </c:pt>
                      <c:pt idx="10">
                        <c:v>43405</c:v>
                      </c:pt>
                      <c:pt idx="11">
                        <c:v>43435</c:v>
                      </c:pt>
                      <c:pt idx="12">
                        <c:v>43466</c:v>
                      </c:pt>
                      <c:pt idx="13">
                        <c:v>43497</c:v>
                      </c:pt>
                      <c:pt idx="14">
                        <c:v>43525</c:v>
                      </c:pt>
                      <c:pt idx="15">
                        <c:v>43556</c:v>
                      </c:pt>
                      <c:pt idx="16">
                        <c:v>43586</c:v>
                      </c:pt>
                      <c:pt idx="17">
                        <c:v>43617</c:v>
                      </c:pt>
                      <c:pt idx="18">
                        <c:v>43647</c:v>
                      </c:pt>
                      <c:pt idx="19">
                        <c:v>43678</c:v>
                      </c:pt>
                      <c:pt idx="20">
                        <c:v>43709</c:v>
                      </c:pt>
                      <c:pt idx="21">
                        <c:v>43739</c:v>
                      </c:pt>
                      <c:pt idx="22">
                        <c:v>43770</c:v>
                      </c:pt>
                      <c:pt idx="23">
                        <c:v>43800</c:v>
                      </c:pt>
                      <c:pt idx="24">
                        <c:v>43831</c:v>
                      </c:pt>
                      <c:pt idx="25">
                        <c:v>43862</c:v>
                      </c:pt>
                      <c:pt idx="26">
                        <c:v>43891</c:v>
                      </c:pt>
                      <c:pt idx="27">
                        <c:v>43922</c:v>
                      </c:pt>
                      <c:pt idx="28">
                        <c:v>43952</c:v>
                      </c:pt>
                      <c:pt idx="29">
                        <c:v>43983</c:v>
                      </c:pt>
                      <c:pt idx="30">
                        <c:v>44013</c:v>
                      </c:pt>
                      <c:pt idx="31">
                        <c:v>44044</c:v>
                      </c:pt>
                      <c:pt idx="32">
                        <c:v>44075</c:v>
                      </c:pt>
                      <c:pt idx="33">
                        <c:v>44105</c:v>
                      </c:pt>
                      <c:pt idx="34">
                        <c:v>44136</c:v>
                      </c:pt>
                      <c:pt idx="35">
                        <c:v>44166</c:v>
                      </c:pt>
                      <c:pt idx="36">
                        <c:v>44197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'WEIGHTED AVERAGE - SPAN OF  3'!$F$2:$F$38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3">
                        <c:v>7.111111111111212</c:v>
                      </c:pt>
                      <c:pt idx="4">
                        <c:v>5.4444444444443558</c:v>
                      </c:pt>
                      <c:pt idx="5">
                        <c:v>641.77777777777681</c:v>
                      </c:pt>
                      <c:pt idx="6">
                        <c:v>235.11111111111052</c:v>
                      </c:pt>
                      <c:pt idx="7">
                        <c:v>1296</c:v>
                      </c:pt>
                      <c:pt idx="8">
                        <c:v>729</c:v>
                      </c:pt>
                      <c:pt idx="9">
                        <c:v>152.11111111111063</c:v>
                      </c:pt>
                      <c:pt idx="10">
                        <c:v>100</c:v>
                      </c:pt>
                      <c:pt idx="11">
                        <c:v>2433.777777777776</c:v>
                      </c:pt>
                      <c:pt idx="12">
                        <c:v>1521</c:v>
                      </c:pt>
                      <c:pt idx="13">
                        <c:v>289</c:v>
                      </c:pt>
                      <c:pt idx="14">
                        <c:v>5.4444444444443558</c:v>
                      </c:pt>
                      <c:pt idx="15">
                        <c:v>25</c:v>
                      </c:pt>
                      <c:pt idx="16">
                        <c:v>36</c:v>
                      </c:pt>
                      <c:pt idx="17">
                        <c:v>711.11111111111211</c:v>
                      </c:pt>
                      <c:pt idx="18">
                        <c:v>160.44444444444491</c:v>
                      </c:pt>
                      <c:pt idx="19">
                        <c:v>1600</c:v>
                      </c:pt>
                      <c:pt idx="20">
                        <c:v>981.77777777777658</c:v>
                      </c:pt>
                      <c:pt idx="21">
                        <c:v>87.111111111110759</c:v>
                      </c:pt>
                      <c:pt idx="22">
                        <c:v>106.77777777777739</c:v>
                      </c:pt>
                      <c:pt idx="23">
                        <c:v>2738.777777777776</c:v>
                      </c:pt>
                      <c:pt idx="24">
                        <c:v>1600</c:v>
                      </c:pt>
                      <c:pt idx="25">
                        <c:v>256</c:v>
                      </c:pt>
                      <c:pt idx="26">
                        <c:v>1</c:v>
                      </c:pt>
                      <c:pt idx="27">
                        <c:v>7.111111111111212</c:v>
                      </c:pt>
                      <c:pt idx="28">
                        <c:v>64</c:v>
                      </c:pt>
                      <c:pt idx="29">
                        <c:v>658.77777777777874</c:v>
                      </c:pt>
                      <c:pt idx="30">
                        <c:v>348.44444444444514</c:v>
                      </c:pt>
                      <c:pt idx="31">
                        <c:v>1936</c:v>
                      </c:pt>
                      <c:pt idx="32">
                        <c:v>693.44444444444343</c:v>
                      </c:pt>
                      <c:pt idx="33">
                        <c:v>136.11111111111154</c:v>
                      </c:pt>
                      <c:pt idx="34">
                        <c:v>100</c:v>
                      </c:pt>
                      <c:pt idx="35">
                        <c:v>2533.4444444444425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5B6-45E0-BECE-94AE15DCBD41}"/>
                  </c:ext>
                </c:extLst>
              </c15:ser>
            </c15:filteredLineSeries>
          </c:ext>
        </c:extLst>
      </c:lineChart>
      <c:dateAx>
        <c:axId val="211825563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254191"/>
        <c:crosses val="autoZero"/>
        <c:auto val="1"/>
        <c:lblOffset val="100"/>
        <c:baseTimeUnit val="months"/>
      </c:dateAx>
      <c:valAx>
        <c:axId val="21182541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25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18520</xdr:colOff>
      <xdr:row>5</xdr:row>
      <xdr:rowOff>33337</xdr:rowOff>
    </xdr:from>
    <xdr:to>
      <xdr:col>14</xdr:col>
      <xdr:colOff>507999</xdr:colOff>
      <xdr:row>20</xdr:row>
      <xdr:rowOff>77787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6BB42A-5758-6996-3F8C-4E02E3469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197643</xdr:colOff>
      <xdr:row>5</xdr:row>
      <xdr:rowOff>90488</xdr:rowOff>
    </xdr:from>
    <xdr:to>
      <xdr:col>13</xdr:col>
      <xdr:colOff>169068</xdr:colOff>
      <xdr:row>20</xdr:row>
      <xdr:rowOff>119063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447E42-0F01-4865-966F-88554C37F3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26193</xdr:colOff>
      <xdr:row>5</xdr:row>
      <xdr:rowOff>42863</xdr:rowOff>
    </xdr:from>
    <xdr:to>
      <xdr:col>14</xdr:col>
      <xdr:colOff>230981</xdr:colOff>
      <xdr:row>20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155A96-E628-C60E-6BD9-D49F65541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540543</xdr:colOff>
      <xdr:row>5</xdr:row>
      <xdr:rowOff>100012</xdr:rowOff>
    </xdr:from>
    <xdr:to>
      <xdr:col>14</xdr:col>
      <xdr:colOff>121443</xdr:colOff>
      <xdr:row>20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C9A5C9-9B97-4DEB-8AD9-D61BEC8EC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C0146-9C4F-4154-B115-8FAE23DEBC8E}">
  <dimension ref="A1:J38"/>
  <sheetViews>
    <sheetView topLeftCell="D1" zoomScale="90" zoomScaleNormal="90" workbookViewId="0">
      <pane ySplit="1" topLeftCell="A4" activePane="bottomLeft" state="frozen"/>
      <selection pane="bottomLeft" activeCell="L21" sqref="L21"/>
    </sheetView>
  </sheetViews>
  <sheetFormatPr defaultRowHeight="14.25" x14ac:dyDescent="0.45"/>
  <cols>
    <col min="1" max="1" width="10.19921875" style="2" customWidth="1"/>
    <col min="2" max="2" width="16.73046875" style="1" bestFit="1" customWidth="1"/>
    <col min="3" max="3" width="14" style="1" bestFit="1" customWidth="1"/>
    <col min="4" max="4" width="11.9296875" style="1" bestFit="1" customWidth="1"/>
    <col min="5" max="5" width="17.265625" style="1" bestFit="1" customWidth="1"/>
    <col min="6" max="6" width="17.06640625" style="1" customWidth="1"/>
    <col min="7" max="9" width="8.73046875" style="1"/>
    <col min="10" max="10" width="15.86328125" style="1" bestFit="1" customWidth="1"/>
    <col min="11" max="254" width="8.73046875" style="1"/>
    <col min="255" max="256" width="10.19921875" style="1" customWidth="1"/>
    <col min="257" max="257" width="12" style="1" customWidth="1"/>
    <col min="258" max="510" width="8.73046875" style="1"/>
    <col min="511" max="512" width="10.19921875" style="1" customWidth="1"/>
    <col min="513" max="513" width="12" style="1" customWidth="1"/>
    <col min="514" max="766" width="8.73046875" style="1"/>
    <col min="767" max="768" width="10.19921875" style="1" customWidth="1"/>
    <col min="769" max="769" width="12" style="1" customWidth="1"/>
    <col min="770" max="1022" width="8.73046875" style="1"/>
    <col min="1023" max="1024" width="10.19921875" style="1" customWidth="1"/>
    <col min="1025" max="1025" width="12" style="1" customWidth="1"/>
    <col min="1026" max="1278" width="8.73046875" style="1"/>
    <col min="1279" max="1280" width="10.19921875" style="1" customWidth="1"/>
    <col min="1281" max="1281" width="12" style="1" customWidth="1"/>
    <col min="1282" max="1534" width="8.73046875" style="1"/>
    <col min="1535" max="1536" width="10.19921875" style="1" customWidth="1"/>
    <col min="1537" max="1537" width="12" style="1" customWidth="1"/>
    <col min="1538" max="1790" width="8.73046875" style="1"/>
    <col min="1791" max="1792" width="10.19921875" style="1" customWidth="1"/>
    <col min="1793" max="1793" width="12" style="1" customWidth="1"/>
    <col min="1794" max="2046" width="8.73046875" style="1"/>
    <col min="2047" max="2048" width="10.19921875" style="1" customWidth="1"/>
    <col min="2049" max="2049" width="12" style="1" customWidth="1"/>
    <col min="2050" max="2302" width="8.73046875" style="1"/>
    <col min="2303" max="2304" width="10.19921875" style="1" customWidth="1"/>
    <col min="2305" max="2305" width="12" style="1" customWidth="1"/>
    <col min="2306" max="2558" width="8.73046875" style="1"/>
    <col min="2559" max="2560" width="10.19921875" style="1" customWidth="1"/>
    <col min="2561" max="2561" width="12" style="1" customWidth="1"/>
    <col min="2562" max="2814" width="8.73046875" style="1"/>
    <col min="2815" max="2816" width="10.19921875" style="1" customWidth="1"/>
    <col min="2817" max="2817" width="12" style="1" customWidth="1"/>
    <col min="2818" max="3070" width="8.73046875" style="1"/>
    <col min="3071" max="3072" width="10.19921875" style="1" customWidth="1"/>
    <col min="3073" max="3073" width="12" style="1" customWidth="1"/>
    <col min="3074" max="3326" width="8.73046875" style="1"/>
    <col min="3327" max="3328" width="10.19921875" style="1" customWidth="1"/>
    <col min="3329" max="3329" width="12" style="1" customWidth="1"/>
    <col min="3330" max="3582" width="8.73046875" style="1"/>
    <col min="3583" max="3584" width="10.19921875" style="1" customWidth="1"/>
    <col min="3585" max="3585" width="12" style="1" customWidth="1"/>
    <col min="3586" max="3838" width="8.73046875" style="1"/>
    <col min="3839" max="3840" width="10.19921875" style="1" customWidth="1"/>
    <col min="3841" max="3841" width="12" style="1" customWidth="1"/>
    <col min="3842" max="4094" width="8.73046875" style="1"/>
    <col min="4095" max="4096" width="10.19921875" style="1" customWidth="1"/>
    <col min="4097" max="4097" width="12" style="1" customWidth="1"/>
    <col min="4098" max="4350" width="8.73046875" style="1"/>
    <col min="4351" max="4352" width="10.19921875" style="1" customWidth="1"/>
    <col min="4353" max="4353" width="12" style="1" customWidth="1"/>
    <col min="4354" max="4606" width="8.73046875" style="1"/>
    <col min="4607" max="4608" width="10.19921875" style="1" customWidth="1"/>
    <col min="4609" max="4609" width="12" style="1" customWidth="1"/>
    <col min="4610" max="4862" width="8.73046875" style="1"/>
    <col min="4863" max="4864" width="10.19921875" style="1" customWidth="1"/>
    <col min="4865" max="4865" width="12" style="1" customWidth="1"/>
    <col min="4866" max="5118" width="8.73046875" style="1"/>
    <col min="5119" max="5120" width="10.19921875" style="1" customWidth="1"/>
    <col min="5121" max="5121" width="12" style="1" customWidth="1"/>
    <col min="5122" max="5374" width="8.73046875" style="1"/>
    <col min="5375" max="5376" width="10.19921875" style="1" customWidth="1"/>
    <col min="5377" max="5377" width="12" style="1" customWidth="1"/>
    <col min="5378" max="5630" width="8.73046875" style="1"/>
    <col min="5631" max="5632" width="10.19921875" style="1" customWidth="1"/>
    <col min="5633" max="5633" width="12" style="1" customWidth="1"/>
    <col min="5634" max="5886" width="8.73046875" style="1"/>
    <col min="5887" max="5888" width="10.19921875" style="1" customWidth="1"/>
    <col min="5889" max="5889" width="12" style="1" customWidth="1"/>
    <col min="5890" max="6142" width="8.73046875" style="1"/>
    <col min="6143" max="6144" width="10.19921875" style="1" customWidth="1"/>
    <col min="6145" max="6145" width="12" style="1" customWidth="1"/>
    <col min="6146" max="6398" width="8.73046875" style="1"/>
    <col min="6399" max="6400" width="10.19921875" style="1" customWidth="1"/>
    <col min="6401" max="6401" width="12" style="1" customWidth="1"/>
    <col min="6402" max="6654" width="8.73046875" style="1"/>
    <col min="6655" max="6656" width="10.19921875" style="1" customWidth="1"/>
    <col min="6657" max="6657" width="12" style="1" customWidth="1"/>
    <col min="6658" max="6910" width="8.73046875" style="1"/>
    <col min="6911" max="6912" width="10.19921875" style="1" customWidth="1"/>
    <col min="6913" max="6913" width="12" style="1" customWidth="1"/>
    <col min="6914" max="7166" width="8.73046875" style="1"/>
    <col min="7167" max="7168" width="10.19921875" style="1" customWidth="1"/>
    <col min="7169" max="7169" width="12" style="1" customWidth="1"/>
    <col min="7170" max="7422" width="8.73046875" style="1"/>
    <col min="7423" max="7424" width="10.19921875" style="1" customWidth="1"/>
    <col min="7425" max="7425" width="12" style="1" customWidth="1"/>
    <col min="7426" max="7678" width="8.73046875" style="1"/>
    <col min="7679" max="7680" width="10.19921875" style="1" customWidth="1"/>
    <col min="7681" max="7681" width="12" style="1" customWidth="1"/>
    <col min="7682" max="7934" width="8.73046875" style="1"/>
    <col min="7935" max="7936" width="10.19921875" style="1" customWidth="1"/>
    <col min="7937" max="7937" width="12" style="1" customWidth="1"/>
    <col min="7938" max="8190" width="8.73046875" style="1"/>
    <col min="8191" max="8192" width="10.19921875" style="1" customWidth="1"/>
    <col min="8193" max="8193" width="12" style="1" customWidth="1"/>
    <col min="8194" max="8446" width="8.73046875" style="1"/>
    <col min="8447" max="8448" width="10.19921875" style="1" customWidth="1"/>
    <col min="8449" max="8449" width="12" style="1" customWidth="1"/>
    <col min="8450" max="8702" width="8.73046875" style="1"/>
    <col min="8703" max="8704" width="10.19921875" style="1" customWidth="1"/>
    <col min="8705" max="8705" width="12" style="1" customWidth="1"/>
    <col min="8706" max="8958" width="8.73046875" style="1"/>
    <col min="8959" max="8960" width="10.19921875" style="1" customWidth="1"/>
    <col min="8961" max="8961" width="12" style="1" customWidth="1"/>
    <col min="8962" max="9214" width="8.73046875" style="1"/>
    <col min="9215" max="9216" width="10.19921875" style="1" customWidth="1"/>
    <col min="9217" max="9217" width="12" style="1" customWidth="1"/>
    <col min="9218" max="9470" width="8.73046875" style="1"/>
    <col min="9471" max="9472" width="10.19921875" style="1" customWidth="1"/>
    <col min="9473" max="9473" width="12" style="1" customWidth="1"/>
    <col min="9474" max="9726" width="8.73046875" style="1"/>
    <col min="9727" max="9728" width="10.19921875" style="1" customWidth="1"/>
    <col min="9729" max="9729" width="12" style="1" customWidth="1"/>
    <col min="9730" max="9982" width="8.73046875" style="1"/>
    <col min="9983" max="9984" width="10.19921875" style="1" customWidth="1"/>
    <col min="9985" max="9985" width="12" style="1" customWidth="1"/>
    <col min="9986" max="10238" width="8.73046875" style="1"/>
    <col min="10239" max="10240" width="10.19921875" style="1" customWidth="1"/>
    <col min="10241" max="10241" width="12" style="1" customWidth="1"/>
    <col min="10242" max="10494" width="8.73046875" style="1"/>
    <col min="10495" max="10496" width="10.19921875" style="1" customWidth="1"/>
    <col min="10497" max="10497" width="12" style="1" customWidth="1"/>
    <col min="10498" max="10750" width="8.73046875" style="1"/>
    <col min="10751" max="10752" width="10.19921875" style="1" customWidth="1"/>
    <col min="10753" max="10753" width="12" style="1" customWidth="1"/>
    <col min="10754" max="11006" width="8.73046875" style="1"/>
    <col min="11007" max="11008" width="10.19921875" style="1" customWidth="1"/>
    <col min="11009" max="11009" width="12" style="1" customWidth="1"/>
    <col min="11010" max="11262" width="8.73046875" style="1"/>
    <col min="11263" max="11264" width="10.19921875" style="1" customWidth="1"/>
    <col min="11265" max="11265" width="12" style="1" customWidth="1"/>
    <col min="11266" max="11518" width="8.73046875" style="1"/>
    <col min="11519" max="11520" width="10.19921875" style="1" customWidth="1"/>
    <col min="11521" max="11521" width="12" style="1" customWidth="1"/>
    <col min="11522" max="11774" width="8.73046875" style="1"/>
    <col min="11775" max="11776" width="10.19921875" style="1" customWidth="1"/>
    <col min="11777" max="11777" width="12" style="1" customWidth="1"/>
    <col min="11778" max="12030" width="8.73046875" style="1"/>
    <col min="12031" max="12032" width="10.19921875" style="1" customWidth="1"/>
    <col min="12033" max="12033" width="12" style="1" customWidth="1"/>
    <col min="12034" max="12286" width="8.73046875" style="1"/>
    <col min="12287" max="12288" width="10.19921875" style="1" customWidth="1"/>
    <col min="12289" max="12289" width="12" style="1" customWidth="1"/>
    <col min="12290" max="12542" width="8.73046875" style="1"/>
    <col min="12543" max="12544" width="10.19921875" style="1" customWidth="1"/>
    <col min="12545" max="12545" width="12" style="1" customWidth="1"/>
    <col min="12546" max="12798" width="8.73046875" style="1"/>
    <col min="12799" max="12800" width="10.19921875" style="1" customWidth="1"/>
    <col min="12801" max="12801" width="12" style="1" customWidth="1"/>
    <col min="12802" max="13054" width="8.73046875" style="1"/>
    <col min="13055" max="13056" width="10.19921875" style="1" customWidth="1"/>
    <col min="13057" max="13057" width="12" style="1" customWidth="1"/>
    <col min="13058" max="13310" width="8.73046875" style="1"/>
    <col min="13311" max="13312" width="10.19921875" style="1" customWidth="1"/>
    <col min="13313" max="13313" width="12" style="1" customWidth="1"/>
    <col min="13314" max="13566" width="8.73046875" style="1"/>
    <col min="13567" max="13568" width="10.19921875" style="1" customWidth="1"/>
    <col min="13569" max="13569" width="12" style="1" customWidth="1"/>
    <col min="13570" max="13822" width="8.73046875" style="1"/>
    <col min="13823" max="13824" width="10.19921875" style="1" customWidth="1"/>
    <col min="13825" max="13825" width="12" style="1" customWidth="1"/>
    <col min="13826" max="14078" width="8.73046875" style="1"/>
    <col min="14079" max="14080" width="10.19921875" style="1" customWidth="1"/>
    <col min="14081" max="14081" width="12" style="1" customWidth="1"/>
    <col min="14082" max="14334" width="8.73046875" style="1"/>
    <col min="14335" max="14336" width="10.19921875" style="1" customWidth="1"/>
    <col min="14337" max="14337" width="12" style="1" customWidth="1"/>
    <col min="14338" max="14590" width="8.73046875" style="1"/>
    <col min="14591" max="14592" width="10.19921875" style="1" customWidth="1"/>
    <col min="14593" max="14593" width="12" style="1" customWidth="1"/>
    <col min="14594" max="14846" width="8.73046875" style="1"/>
    <col min="14847" max="14848" width="10.19921875" style="1" customWidth="1"/>
    <col min="14849" max="14849" width="12" style="1" customWidth="1"/>
    <col min="14850" max="15102" width="8.73046875" style="1"/>
    <col min="15103" max="15104" width="10.19921875" style="1" customWidth="1"/>
    <col min="15105" max="15105" width="12" style="1" customWidth="1"/>
    <col min="15106" max="15358" width="8.73046875" style="1"/>
    <col min="15359" max="15360" width="10.19921875" style="1" customWidth="1"/>
    <col min="15361" max="15361" width="12" style="1" customWidth="1"/>
    <col min="15362" max="15614" width="8.73046875" style="1"/>
    <col min="15615" max="15616" width="10.19921875" style="1" customWidth="1"/>
    <col min="15617" max="15617" width="12" style="1" customWidth="1"/>
    <col min="15618" max="15870" width="8.73046875" style="1"/>
    <col min="15871" max="15872" width="10.19921875" style="1" customWidth="1"/>
    <col min="15873" max="15873" width="12" style="1" customWidth="1"/>
    <col min="15874" max="16126" width="8.73046875" style="1"/>
    <col min="16127" max="16128" width="10.19921875" style="1" customWidth="1"/>
    <col min="16129" max="16129" width="12" style="1" customWidth="1"/>
    <col min="16130" max="16382" width="8.73046875" style="1"/>
    <col min="16383" max="16384" width="9.19921875" style="1" customWidth="1"/>
  </cols>
  <sheetData>
    <row r="1" spans="1:10" s="8" customFormat="1" ht="18" x14ac:dyDescent="0.55000000000000004">
      <c r="A1" s="6" t="s">
        <v>0</v>
      </c>
      <c r="B1" s="7" t="s">
        <v>41</v>
      </c>
      <c r="C1" s="8" t="s">
        <v>42</v>
      </c>
      <c r="D1" s="8" t="s">
        <v>48</v>
      </c>
      <c r="E1" s="8" t="s">
        <v>43</v>
      </c>
      <c r="F1" s="8" t="s">
        <v>44</v>
      </c>
    </row>
    <row r="2" spans="1:10" ht="18" x14ac:dyDescent="0.55000000000000004">
      <c r="A2" s="5">
        <v>43101</v>
      </c>
      <c r="B2" s="1">
        <v>350</v>
      </c>
      <c r="H2" s="8" t="s">
        <v>45</v>
      </c>
      <c r="I2" s="1">
        <f>AVERAGE(E3:E37)</f>
        <v>12.771428571428572</v>
      </c>
      <c r="J2" s="1" t="str">
        <f ca="1">_xlfn.FORMULATEXT(I2)</f>
        <v>=AVERAGE(E3:E37)</v>
      </c>
    </row>
    <row r="3" spans="1:10" ht="18" x14ac:dyDescent="0.55000000000000004">
      <c r="A3" s="5">
        <v>43132</v>
      </c>
      <c r="B3" s="1">
        <v>348</v>
      </c>
      <c r="C3" s="1">
        <f>B2</f>
        <v>350</v>
      </c>
      <c r="D3" s="1">
        <f>B3-C3</f>
        <v>-2</v>
      </c>
      <c r="E3" s="1">
        <f>ABS(D3)</f>
        <v>2</v>
      </c>
      <c r="F3" s="1">
        <f>D3^2</f>
        <v>4</v>
      </c>
      <c r="H3" s="8" t="s">
        <v>46</v>
      </c>
      <c r="I3" s="1">
        <f>AVERAGE(F3:F37)</f>
        <v>347.05714285714288</v>
      </c>
      <c r="J3" s="1" t="str">
        <f ca="1">_xlfn.FORMULATEXT(I3)</f>
        <v>=AVERAGE(F3:F37)</v>
      </c>
    </row>
    <row r="4" spans="1:10" ht="18" x14ac:dyDescent="0.55000000000000004">
      <c r="A4" s="5">
        <v>43160</v>
      </c>
      <c r="B4" s="1">
        <v>353</v>
      </c>
      <c r="C4" s="1">
        <f>B3</f>
        <v>348</v>
      </c>
      <c r="D4" s="1">
        <f t="shared" ref="D4:D37" si="0">B4-C4</f>
        <v>5</v>
      </c>
      <c r="E4" s="1">
        <f t="shared" ref="E4:E37" si="1">ABS(D4)</f>
        <v>5</v>
      </c>
      <c r="F4" s="1">
        <f t="shared" ref="F4:F37" si="2">D4^2</f>
        <v>25</v>
      </c>
      <c r="H4" s="8" t="s">
        <v>47</v>
      </c>
      <c r="I4" s="1">
        <f>SQRT(I3)</f>
        <v>18.629469741706092</v>
      </c>
      <c r="J4" s="1" t="str">
        <f ca="1">_xlfn.FORMULATEXT(I4)</f>
        <v>=SQRT(I3)</v>
      </c>
    </row>
    <row r="5" spans="1:10" x14ac:dyDescent="0.45">
      <c r="A5" s="5">
        <v>43191</v>
      </c>
      <c r="B5" s="1">
        <v>353</v>
      </c>
      <c r="C5" s="1">
        <f>B4</f>
        <v>353</v>
      </c>
      <c r="D5" s="1">
        <f t="shared" si="0"/>
        <v>0</v>
      </c>
      <c r="E5" s="1">
        <f t="shared" si="1"/>
        <v>0</v>
      </c>
      <c r="F5" s="1">
        <f t="shared" si="2"/>
        <v>0</v>
      </c>
    </row>
    <row r="6" spans="1:10" x14ac:dyDescent="0.45">
      <c r="A6" s="5">
        <v>43221</v>
      </c>
      <c r="B6" s="1">
        <v>349</v>
      </c>
      <c r="C6" s="1">
        <f>B5</f>
        <v>353</v>
      </c>
      <c r="D6" s="1">
        <f t="shared" si="0"/>
        <v>-4</v>
      </c>
      <c r="E6" s="1">
        <f t="shared" si="1"/>
        <v>4</v>
      </c>
      <c r="F6" s="1">
        <f t="shared" si="2"/>
        <v>16</v>
      </c>
    </row>
    <row r="7" spans="1:10" x14ac:dyDescent="0.45">
      <c r="A7" s="5">
        <v>43252</v>
      </c>
      <c r="B7" s="1">
        <v>377</v>
      </c>
      <c r="C7" s="1">
        <f t="shared" ref="C7:C37" si="3">B6</f>
        <v>349</v>
      </c>
      <c r="D7" s="1">
        <f t="shared" si="0"/>
        <v>28</v>
      </c>
      <c r="E7" s="1">
        <f t="shared" si="1"/>
        <v>28</v>
      </c>
      <c r="F7" s="1">
        <f t="shared" si="2"/>
        <v>784</v>
      </c>
    </row>
    <row r="8" spans="1:10" x14ac:dyDescent="0.45">
      <c r="A8" s="5">
        <v>43282</v>
      </c>
      <c r="B8" s="1">
        <v>375</v>
      </c>
      <c r="C8" s="1">
        <f t="shared" si="3"/>
        <v>377</v>
      </c>
      <c r="D8" s="1">
        <f t="shared" si="0"/>
        <v>-2</v>
      </c>
      <c r="E8" s="1">
        <f t="shared" si="1"/>
        <v>2</v>
      </c>
      <c r="F8" s="1">
        <f t="shared" si="2"/>
        <v>4</v>
      </c>
    </row>
    <row r="9" spans="1:10" x14ac:dyDescent="0.45">
      <c r="A9" s="5">
        <v>43313</v>
      </c>
      <c r="B9" s="1">
        <v>403</v>
      </c>
      <c r="C9" s="1">
        <f t="shared" si="3"/>
        <v>375</v>
      </c>
      <c r="D9" s="1">
        <f t="shared" si="0"/>
        <v>28</v>
      </c>
      <c r="E9" s="1">
        <f t="shared" si="1"/>
        <v>28</v>
      </c>
      <c r="F9" s="1">
        <f t="shared" si="2"/>
        <v>784</v>
      </c>
    </row>
    <row r="10" spans="1:10" x14ac:dyDescent="0.45">
      <c r="A10" s="5">
        <v>43344</v>
      </c>
      <c r="B10" s="1">
        <v>412</v>
      </c>
      <c r="C10" s="1">
        <f t="shared" si="3"/>
        <v>403</v>
      </c>
      <c r="D10" s="1">
        <f t="shared" si="0"/>
        <v>9</v>
      </c>
      <c r="E10" s="1">
        <f t="shared" si="1"/>
        <v>9</v>
      </c>
      <c r="F10" s="1">
        <f t="shared" si="2"/>
        <v>81</v>
      </c>
    </row>
    <row r="11" spans="1:10" x14ac:dyDescent="0.45">
      <c r="A11" s="5">
        <v>43374</v>
      </c>
      <c r="B11" s="1">
        <v>409</v>
      </c>
      <c r="C11" s="1">
        <f t="shared" si="3"/>
        <v>412</v>
      </c>
      <c r="D11" s="1">
        <f t="shared" si="0"/>
        <v>-3</v>
      </c>
      <c r="E11" s="1">
        <f t="shared" si="1"/>
        <v>3</v>
      </c>
      <c r="F11" s="1">
        <f t="shared" si="2"/>
        <v>9</v>
      </c>
    </row>
    <row r="12" spans="1:10" x14ac:dyDescent="0.45">
      <c r="A12" s="5">
        <v>43405</v>
      </c>
      <c r="B12" s="1">
        <v>398</v>
      </c>
      <c r="C12" s="1">
        <f t="shared" si="3"/>
        <v>409</v>
      </c>
      <c r="D12" s="1">
        <f t="shared" si="0"/>
        <v>-11</v>
      </c>
      <c r="E12" s="1">
        <f t="shared" si="1"/>
        <v>11</v>
      </c>
      <c r="F12" s="1">
        <f t="shared" si="2"/>
        <v>121</v>
      </c>
    </row>
    <row r="13" spans="1:10" x14ac:dyDescent="0.45">
      <c r="A13" s="5">
        <v>43435</v>
      </c>
      <c r="B13" s="1">
        <v>357</v>
      </c>
      <c r="C13" s="1">
        <f t="shared" si="3"/>
        <v>398</v>
      </c>
      <c r="D13" s="1">
        <f t="shared" si="0"/>
        <v>-41</v>
      </c>
      <c r="E13" s="1">
        <f t="shared" si="1"/>
        <v>41</v>
      </c>
      <c r="F13" s="1">
        <f t="shared" si="2"/>
        <v>1681</v>
      </c>
    </row>
    <row r="14" spans="1:10" x14ac:dyDescent="0.45">
      <c r="A14" s="5">
        <v>43466</v>
      </c>
      <c r="B14" s="1">
        <v>349</v>
      </c>
      <c r="C14" s="1">
        <f t="shared" si="3"/>
        <v>357</v>
      </c>
      <c r="D14" s="1">
        <f t="shared" si="0"/>
        <v>-8</v>
      </c>
      <c r="E14" s="1">
        <f t="shared" si="1"/>
        <v>8</v>
      </c>
      <c r="F14" s="1">
        <f t="shared" si="2"/>
        <v>64</v>
      </c>
    </row>
    <row r="15" spans="1:10" x14ac:dyDescent="0.45">
      <c r="A15" s="5">
        <v>43497</v>
      </c>
      <c r="B15" s="1">
        <v>351</v>
      </c>
      <c r="C15" s="1">
        <f t="shared" si="3"/>
        <v>349</v>
      </c>
      <c r="D15" s="1">
        <f t="shared" si="0"/>
        <v>2</v>
      </c>
      <c r="E15" s="1">
        <f t="shared" si="1"/>
        <v>2</v>
      </c>
      <c r="F15" s="1">
        <f t="shared" si="2"/>
        <v>4</v>
      </c>
    </row>
    <row r="16" spans="1:10" x14ac:dyDescent="0.45">
      <c r="A16" s="5">
        <v>43525</v>
      </c>
      <c r="B16" s="1">
        <v>350</v>
      </c>
      <c r="C16" s="1">
        <f t="shared" si="3"/>
        <v>351</v>
      </c>
      <c r="D16" s="1">
        <f t="shared" si="0"/>
        <v>-1</v>
      </c>
      <c r="E16" s="1">
        <f t="shared" si="1"/>
        <v>1</v>
      </c>
      <c r="F16" s="1">
        <f t="shared" si="2"/>
        <v>1</v>
      </c>
    </row>
    <row r="17" spans="1:6" x14ac:dyDescent="0.45">
      <c r="A17" s="5">
        <v>43556</v>
      </c>
      <c r="B17" s="1">
        <v>355</v>
      </c>
      <c r="C17" s="1">
        <f t="shared" si="3"/>
        <v>350</v>
      </c>
      <c r="D17" s="1">
        <f t="shared" si="0"/>
        <v>5</v>
      </c>
      <c r="E17" s="1">
        <f t="shared" si="1"/>
        <v>5</v>
      </c>
      <c r="F17" s="1">
        <f t="shared" si="2"/>
        <v>25</v>
      </c>
    </row>
    <row r="18" spans="1:6" x14ac:dyDescent="0.45">
      <c r="A18" s="5">
        <v>43586</v>
      </c>
      <c r="B18" s="1">
        <v>346</v>
      </c>
      <c r="C18" s="1">
        <f t="shared" si="3"/>
        <v>355</v>
      </c>
      <c r="D18" s="1">
        <f t="shared" si="0"/>
        <v>-9</v>
      </c>
      <c r="E18" s="1">
        <f t="shared" si="1"/>
        <v>9</v>
      </c>
      <c r="F18" s="1">
        <f t="shared" si="2"/>
        <v>81</v>
      </c>
    </row>
    <row r="19" spans="1:6" x14ac:dyDescent="0.45">
      <c r="A19" s="5">
        <v>43617</v>
      </c>
      <c r="B19" s="1">
        <v>377</v>
      </c>
      <c r="C19" s="1">
        <f t="shared" si="3"/>
        <v>346</v>
      </c>
      <c r="D19" s="1">
        <f t="shared" si="0"/>
        <v>31</v>
      </c>
      <c r="E19" s="1">
        <f t="shared" si="1"/>
        <v>31</v>
      </c>
      <c r="F19" s="1">
        <f t="shared" si="2"/>
        <v>961</v>
      </c>
    </row>
    <row r="20" spans="1:6" x14ac:dyDescent="0.45">
      <c r="A20" s="5">
        <v>43647</v>
      </c>
      <c r="B20" s="1">
        <v>372</v>
      </c>
      <c r="C20" s="1">
        <f t="shared" si="3"/>
        <v>377</v>
      </c>
      <c r="D20" s="1">
        <f t="shared" si="0"/>
        <v>-5</v>
      </c>
      <c r="E20" s="1">
        <f t="shared" si="1"/>
        <v>5</v>
      </c>
      <c r="F20" s="1">
        <f t="shared" si="2"/>
        <v>25</v>
      </c>
    </row>
    <row r="21" spans="1:6" x14ac:dyDescent="0.45">
      <c r="A21" s="5">
        <v>43678</v>
      </c>
      <c r="B21" s="1">
        <v>405</v>
      </c>
      <c r="C21" s="1">
        <f t="shared" si="3"/>
        <v>372</v>
      </c>
      <c r="D21" s="1">
        <f t="shared" si="0"/>
        <v>33</v>
      </c>
      <c r="E21" s="1">
        <f t="shared" si="1"/>
        <v>33</v>
      </c>
      <c r="F21" s="1">
        <f t="shared" si="2"/>
        <v>1089</v>
      </c>
    </row>
    <row r="22" spans="1:6" x14ac:dyDescent="0.45">
      <c r="A22" s="5">
        <v>43709</v>
      </c>
      <c r="B22" s="1">
        <v>416</v>
      </c>
      <c r="C22" s="1">
        <f t="shared" si="3"/>
        <v>405</v>
      </c>
      <c r="D22" s="1">
        <f t="shared" si="0"/>
        <v>11</v>
      </c>
      <c r="E22" s="1">
        <f t="shared" si="1"/>
        <v>11</v>
      </c>
      <c r="F22" s="1">
        <f t="shared" si="2"/>
        <v>121</v>
      </c>
    </row>
    <row r="23" spans="1:6" x14ac:dyDescent="0.45">
      <c r="A23" s="5">
        <v>43739</v>
      </c>
      <c r="B23" s="1">
        <v>407</v>
      </c>
      <c r="C23" s="1">
        <f t="shared" si="3"/>
        <v>416</v>
      </c>
      <c r="D23" s="1">
        <f t="shared" si="0"/>
        <v>-9</v>
      </c>
      <c r="E23" s="1">
        <f t="shared" si="1"/>
        <v>9</v>
      </c>
      <c r="F23" s="1">
        <f t="shared" si="2"/>
        <v>81</v>
      </c>
    </row>
    <row r="24" spans="1:6" x14ac:dyDescent="0.45">
      <c r="A24" s="5">
        <v>43770</v>
      </c>
      <c r="B24" s="1">
        <v>399</v>
      </c>
      <c r="C24" s="1">
        <f t="shared" si="3"/>
        <v>407</v>
      </c>
      <c r="D24" s="1">
        <f t="shared" si="0"/>
        <v>-8</v>
      </c>
      <c r="E24" s="1">
        <f t="shared" si="1"/>
        <v>8</v>
      </c>
      <c r="F24" s="1">
        <f t="shared" si="2"/>
        <v>64</v>
      </c>
    </row>
    <row r="25" spans="1:6" x14ac:dyDescent="0.45">
      <c r="A25" s="5">
        <v>43800</v>
      </c>
      <c r="B25" s="1">
        <v>355</v>
      </c>
      <c r="C25" s="1">
        <f t="shared" si="3"/>
        <v>399</v>
      </c>
      <c r="D25" s="1">
        <f t="shared" si="0"/>
        <v>-44</v>
      </c>
      <c r="E25" s="1">
        <f t="shared" si="1"/>
        <v>44</v>
      </c>
      <c r="F25" s="1">
        <f t="shared" si="2"/>
        <v>1936</v>
      </c>
    </row>
    <row r="26" spans="1:6" x14ac:dyDescent="0.45">
      <c r="A26" s="5">
        <v>43831</v>
      </c>
      <c r="B26" s="1">
        <v>347</v>
      </c>
      <c r="C26" s="1">
        <f t="shared" si="3"/>
        <v>355</v>
      </c>
      <c r="D26" s="1">
        <f t="shared" si="0"/>
        <v>-8</v>
      </c>
      <c r="E26" s="1">
        <f t="shared" si="1"/>
        <v>8</v>
      </c>
      <c r="F26" s="1">
        <f t="shared" si="2"/>
        <v>64</v>
      </c>
    </row>
    <row r="27" spans="1:6" x14ac:dyDescent="0.45">
      <c r="A27" s="5">
        <v>43862</v>
      </c>
      <c r="B27" s="1">
        <v>351</v>
      </c>
      <c r="C27" s="1">
        <f t="shared" si="3"/>
        <v>347</v>
      </c>
      <c r="D27" s="1">
        <f t="shared" si="0"/>
        <v>4</v>
      </c>
      <c r="E27" s="1">
        <f t="shared" si="1"/>
        <v>4</v>
      </c>
      <c r="F27" s="1">
        <f t="shared" si="2"/>
        <v>16</v>
      </c>
    </row>
    <row r="28" spans="1:6" x14ac:dyDescent="0.45">
      <c r="A28" s="5">
        <v>43891</v>
      </c>
      <c r="B28" s="1">
        <v>350</v>
      </c>
      <c r="C28" s="1">
        <f t="shared" si="3"/>
        <v>351</v>
      </c>
      <c r="D28" s="1">
        <f t="shared" si="0"/>
        <v>-1</v>
      </c>
      <c r="E28" s="1">
        <f t="shared" si="1"/>
        <v>1</v>
      </c>
      <c r="F28" s="1">
        <f t="shared" si="2"/>
        <v>1</v>
      </c>
    </row>
    <row r="29" spans="1:6" x14ac:dyDescent="0.45">
      <c r="A29" s="5">
        <v>43922</v>
      </c>
      <c r="B29" s="1">
        <v>352</v>
      </c>
      <c r="C29" s="1">
        <f t="shared" si="3"/>
        <v>350</v>
      </c>
      <c r="D29" s="1">
        <f t="shared" si="0"/>
        <v>2</v>
      </c>
      <c r="E29" s="1">
        <f t="shared" si="1"/>
        <v>2</v>
      </c>
      <c r="F29" s="1">
        <f t="shared" si="2"/>
        <v>4</v>
      </c>
    </row>
    <row r="30" spans="1:6" x14ac:dyDescent="0.45">
      <c r="A30" s="5">
        <v>43952</v>
      </c>
      <c r="B30" s="1">
        <v>343</v>
      </c>
      <c r="C30" s="1">
        <f t="shared" si="3"/>
        <v>352</v>
      </c>
      <c r="D30" s="1">
        <f t="shared" si="0"/>
        <v>-9</v>
      </c>
      <c r="E30" s="1">
        <f t="shared" si="1"/>
        <v>9</v>
      </c>
      <c r="F30" s="1">
        <f t="shared" si="2"/>
        <v>81</v>
      </c>
    </row>
    <row r="31" spans="1:6" x14ac:dyDescent="0.45">
      <c r="A31" s="5">
        <v>43983</v>
      </c>
      <c r="B31" s="1">
        <v>374</v>
      </c>
      <c r="C31" s="1">
        <f t="shared" si="3"/>
        <v>343</v>
      </c>
      <c r="D31" s="1">
        <f t="shared" si="0"/>
        <v>31</v>
      </c>
      <c r="E31" s="1">
        <f t="shared" si="1"/>
        <v>31</v>
      </c>
      <c r="F31" s="1">
        <f t="shared" si="2"/>
        <v>961</v>
      </c>
    </row>
    <row r="32" spans="1:6" x14ac:dyDescent="0.45">
      <c r="A32" s="5">
        <v>44013</v>
      </c>
      <c r="B32" s="1">
        <v>375</v>
      </c>
      <c r="C32" s="1">
        <f t="shared" si="3"/>
        <v>374</v>
      </c>
      <c r="D32" s="1">
        <f t="shared" si="0"/>
        <v>1</v>
      </c>
      <c r="E32" s="1">
        <f t="shared" si="1"/>
        <v>1</v>
      </c>
      <c r="F32" s="1">
        <f t="shared" si="2"/>
        <v>1</v>
      </c>
    </row>
    <row r="33" spans="1:6" x14ac:dyDescent="0.45">
      <c r="A33" s="5">
        <v>44044</v>
      </c>
      <c r="B33" s="1">
        <v>408</v>
      </c>
      <c r="C33" s="1">
        <f t="shared" si="3"/>
        <v>375</v>
      </c>
      <c r="D33" s="1">
        <f t="shared" si="0"/>
        <v>33</v>
      </c>
      <c r="E33" s="1">
        <f t="shared" si="1"/>
        <v>33</v>
      </c>
      <c r="F33" s="1">
        <f t="shared" si="2"/>
        <v>1089</v>
      </c>
    </row>
    <row r="34" spans="1:6" x14ac:dyDescent="0.45">
      <c r="A34" s="5">
        <v>44075</v>
      </c>
      <c r="B34" s="1">
        <v>412</v>
      </c>
      <c r="C34" s="1">
        <f t="shared" si="3"/>
        <v>408</v>
      </c>
      <c r="D34" s="1">
        <f t="shared" si="0"/>
        <v>4</v>
      </c>
      <c r="E34" s="1">
        <f t="shared" si="1"/>
        <v>4</v>
      </c>
      <c r="F34" s="1">
        <f t="shared" si="2"/>
        <v>16</v>
      </c>
    </row>
    <row r="35" spans="1:6" x14ac:dyDescent="0.45">
      <c r="A35" s="5">
        <v>44105</v>
      </c>
      <c r="B35" s="1">
        <v>410</v>
      </c>
      <c r="C35" s="1">
        <f t="shared" si="3"/>
        <v>412</v>
      </c>
      <c r="D35" s="1">
        <f t="shared" si="0"/>
        <v>-2</v>
      </c>
      <c r="E35" s="1">
        <f t="shared" si="1"/>
        <v>2</v>
      </c>
      <c r="F35" s="1">
        <f t="shared" si="2"/>
        <v>4</v>
      </c>
    </row>
    <row r="36" spans="1:6" x14ac:dyDescent="0.45">
      <c r="A36" s="5">
        <v>44136</v>
      </c>
      <c r="B36" s="1">
        <v>400</v>
      </c>
      <c r="C36" s="1">
        <f t="shared" si="3"/>
        <v>410</v>
      </c>
      <c r="D36" s="1">
        <f t="shared" si="0"/>
        <v>-10</v>
      </c>
      <c r="E36" s="1">
        <f t="shared" si="1"/>
        <v>10</v>
      </c>
      <c r="F36" s="1">
        <f t="shared" si="2"/>
        <v>100</v>
      </c>
    </row>
    <row r="37" spans="1:6" x14ac:dyDescent="0.45">
      <c r="A37" s="5">
        <v>44166</v>
      </c>
      <c r="B37" s="1">
        <v>357</v>
      </c>
      <c r="C37" s="1">
        <f t="shared" si="3"/>
        <v>400</v>
      </c>
      <c r="D37" s="1">
        <f t="shared" si="0"/>
        <v>-43</v>
      </c>
      <c r="E37" s="1">
        <f t="shared" si="1"/>
        <v>43</v>
      </c>
      <c r="F37" s="1">
        <f t="shared" si="2"/>
        <v>1849</v>
      </c>
    </row>
    <row r="38" spans="1:6" x14ac:dyDescent="0.45">
      <c r="A38" s="5">
        <v>44197</v>
      </c>
      <c r="C38" s="9">
        <f>B37</f>
        <v>357</v>
      </c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8"/>
  <sheetViews>
    <sheetView topLeftCell="F1" zoomScaleNormal="100" workbookViewId="0">
      <pane ySplit="1" topLeftCell="A2" activePane="bottomLeft" state="frozen"/>
      <selection pane="bottomLeft" activeCell="F2" sqref="F2"/>
    </sheetView>
  </sheetViews>
  <sheetFormatPr defaultRowHeight="14.25" x14ac:dyDescent="0.45"/>
  <cols>
    <col min="1" max="1" width="10.19921875" style="2" customWidth="1"/>
    <col min="2" max="2" width="16.73046875" style="1" bestFit="1" customWidth="1"/>
    <col min="3" max="3" width="14" style="1" bestFit="1" customWidth="1"/>
    <col min="4" max="4" width="11.9296875" style="1" bestFit="1" customWidth="1"/>
    <col min="5" max="5" width="17.265625" style="1" bestFit="1" customWidth="1"/>
    <col min="6" max="6" width="17.06640625" style="1" customWidth="1"/>
    <col min="7" max="254" width="9.19921875" style="1"/>
    <col min="255" max="256" width="10.19921875" style="1" customWidth="1"/>
    <col min="257" max="257" width="12" style="1" customWidth="1"/>
    <col min="258" max="510" width="9.19921875" style="1"/>
    <col min="511" max="512" width="10.19921875" style="1" customWidth="1"/>
    <col min="513" max="513" width="12" style="1" customWidth="1"/>
    <col min="514" max="766" width="9.19921875" style="1"/>
    <col min="767" max="768" width="10.19921875" style="1" customWidth="1"/>
    <col min="769" max="769" width="12" style="1" customWidth="1"/>
    <col min="770" max="1022" width="9.19921875" style="1"/>
    <col min="1023" max="1024" width="10.19921875" style="1" customWidth="1"/>
    <col min="1025" max="1025" width="12" style="1" customWidth="1"/>
    <col min="1026" max="1278" width="9.19921875" style="1"/>
    <col min="1279" max="1280" width="10.19921875" style="1" customWidth="1"/>
    <col min="1281" max="1281" width="12" style="1" customWidth="1"/>
    <col min="1282" max="1534" width="9.19921875" style="1"/>
    <col min="1535" max="1536" width="10.19921875" style="1" customWidth="1"/>
    <col min="1537" max="1537" width="12" style="1" customWidth="1"/>
    <col min="1538" max="1790" width="9.19921875" style="1"/>
    <col min="1791" max="1792" width="10.19921875" style="1" customWidth="1"/>
    <col min="1793" max="1793" width="12" style="1" customWidth="1"/>
    <col min="1794" max="2046" width="9.19921875" style="1"/>
    <col min="2047" max="2048" width="10.19921875" style="1" customWidth="1"/>
    <col min="2049" max="2049" width="12" style="1" customWidth="1"/>
    <col min="2050" max="2302" width="9.19921875" style="1"/>
    <col min="2303" max="2304" width="10.19921875" style="1" customWidth="1"/>
    <col min="2305" max="2305" width="12" style="1" customWidth="1"/>
    <col min="2306" max="2558" width="9.19921875" style="1"/>
    <col min="2559" max="2560" width="10.19921875" style="1" customWidth="1"/>
    <col min="2561" max="2561" width="12" style="1" customWidth="1"/>
    <col min="2562" max="2814" width="9.19921875" style="1"/>
    <col min="2815" max="2816" width="10.19921875" style="1" customWidth="1"/>
    <col min="2817" max="2817" width="12" style="1" customWidth="1"/>
    <col min="2818" max="3070" width="9.19921875" style="1"/>
    <col min="3071" max="3072" width="10.19921875" style="1" customWidth="1"/>
    <col min="3073" max="3073" width="12" style="1" customWidth="1"/>
    <col min="3074" max="3326" width="9.19921875" style="1"/>
    <col min="3327" max="3328" width="10.19921875" style="1" customWidth="1"/>
    <col min="3329" max="3329" width="12" style="1" customWidth="1"/>
    <col min="3330" max="3582" width="9.19921875" style="1"/>
    <col min="3583" max="3584" width="10.19921875" style="1" customWidth="1"/>
    <col min="3585" max="3585" width="12" style="1" customWidth="1"/>
    <col min="3586" max="3838" width="9.19921875" style="1"/>
    <col min="3839" max="3840" width="10.19921875" style="1" customWidth="1"/>
    <col min="3841" max="3841" width="12" style="1" customWidth="1"/>
    <col min="3842" max="4094" width="9.19921875" style="1"/>
    <col min="4095" max="4096" width="10.19921875" style="1" customWidth="1"/>
    <col min="4097" max="4097" width="12" style="1" customWidth="1"/>
    <col min="4098" max="4350" width="9.19921875" style="1"/>
    <col min="4351" max="4352" width="10.19921875" style="1" customWidth="1"/>
    <col min="4353" max="4353" width="12" style="1" customWidth="1"/>
    <col min="4354" max="4606" width="9.19921875" style="1"/>
    <col min="4607" max="4608" width="10.19921875" style="1" customWidth="1"/>
    <col min="4609" max="4609" width="12" style="1" customWidth="1"/>
    <col min="4610" max="4862" width="9.19921875" style="1"/>
    <col min="4863" max="4864" width="10.19921875" style="1" customWidth="1"/>
    <col min="4865" max="4865" width="12" style="1" customWidth="1"/>
    <col min="4866" max="5118" width="9.19921875" style="1"/>
    <col min="5119" max="5120" width="10.19921875" style="1" customWidth="1"/>
    <col min="5121" max="5121" width="12" style="1" customWidth="1"/>
    <col min="5122" max="5374" width="9.19921875" style="1"/>
    <col min="5375" max="5376" width="10.19921875" style="1" customWidth="1"/>
    <col min="5377" max="5377" width="12" style="1" customWidth="1"/>
    <col min="5378" max="5630" width="9.19921875" style="1"/>
    <col min="5631" max="5632" width="10.19921875" style="1" customWidth="1"/>
    <col min="5633" max="5633" width="12" style="1" customWidth="1"/>
    <col min="5634" max="5886" width="9.19921875" style="1"/>
    <col min="5887" max="5888" width="10.19921875" style="1" customWidth="1"/>
    <col min="5889" max="5889" width="12" style="1" customWidth="1"/>
    <col min="5890" max="6142" width="9.19921875" style="1"/>
    <col min="6143" max="6144" width="10.19921875" style="1" customWidth="1"/>
    <col min="6145" max="6145" width="12" style="1" customWidth="1"/>
    <col min="6146" max="6398" width="9.19921875" style="1"/>
    <col min="6399" max="6400" width="10.19921875" style="1" customWidth="1"/>
    <col min="6401" max="6401" width="12" style="1" customWidth="1"/>
    <col min="6402" max="6654" width="9.19921875" style="1"/>
    <col min="6655" max="6656" width="10.19921875" style="1" customWidth="1"/>
    <col min="6657" max="6657" width="12" style="1" customWidth="1"/>
    <col min="6658" max="6910" width="9.19921875" style="1"/>
    <col min="6911" max="6912" width="10.19921875" style="1" customWidth="1"/>
    <col min="6913" max="6913" width="12" style="1" customWidth="1"/>
    <col min="6914" max="7166" width="9.19921875" style="1"/>
    <col min="7167" max="7168" width="10.19921875" style="1" customWidth="1"/>
    <col min="7169" max="7169" width="12" style="1" customWidth="1"/>
    <col min="7170" max="7422" width="9.19921875" style="1"/>
    <col min="7423" max="7424" width="10.19921875" style="1" customWidth="1"/>
    <col min="7425" max="7425" width="12" style="1" customWidth="1"/>
    <col min="7426" max="7678" width="9.19921875" style="1"/>
    <col min="7679" max="7680" width="10.19921875" style="1" customWidth="1"/>
    <col min="7681" max="7681" width="12" style="1" customWidth="1"/>
    <col min="7682" max="7934" width="9.19921875" style="1"/>
    <col min="7935" max="7936" width="10.19921875" style="1" customWidth="1"/>
    <col min="7937" max="7937" width="12" style="1" customWidth="1"/>
    <col min="7938" max="8190" width="9.19921875" style="1"/>
    <col min="8191" max="8192" width="10.19921875" style="1" customWidth="1"/>
    <col min="8193" max="8193" width="12" style="1" customWidth="1"/>
    <col min="8194" max="8446" width="9.19921875" style="1"/>
    <col min="8447" max="8448" width="10.19921875" style="1" customWidth="1"/>
    <col min="8449" max="8449" width="12" style="1" customWidth="1"/>
    <col min="8450" max="8702" width="9.19921875" style="1"/>
    <col min="8703" max="8704" width="10.19921875" style="1" customWidth="1"/>
    <col min="8705" max="8705" width="12" style="1" customWidth="1"/>
    <col min="8706" max="8958" width="9.19921875" style="1"/>
    <col min="8959" max="8960" width="10.19921875" style="1" customWidth="1"/>
    <col min="8961" max="8961" width="12" style="1" customWidth="1"/>
    <col min="8962" max="9214" width="9.19921875" style="1"/>
    <col min="9215" max="9216" width="10.19921875" style="1" customWidth="1"/>
    <col min="9217" max="9217" width="12" style="1" customWidth="1"/>
    <col min="9218" max="9470" width="9.19921875" style="1"/>
    <col min="9471" max="9472" width="10.19921875" style="1" customWidth="1"/>
    <col min="9473" max="9473" width="12" style="1" customWidth="1"/>
    <col min="9474" max="9726" width="9.19921875" style="1"/>
    <col min="9727" max="9728" width="10.19921875" style="1" customWidth="1"/>
    <col min="9729" max="9729" width="12" style="1" customWidth="1"/>
    <col min="9730" max="9982" width="9.19921875" style="1"/>
    <col min="9983" max="9984" width="10.19921875" style="1" customWidth="1"/>
    <col min="9985" max="9985" width="12" style="1" customWidth="1"/>
    <col min="9986" max="10238" width="9.19921875" style="1"/>
    <col min="10239" max="10240" width="10.19921875" style="1" customWidth="1"/>
    <col min="10241" max="10241" width="12" style="1" customWidth="1"/>
    <col min="10242" max="10494" width="9.19921875" style="1"/>
    <col min="10495" max="10496" width="10.19921875" style="1" customWidth="1"/>
    <col min="10497" max="10497" width="12" style="1" customWidth="1"/>
    <col min="10498" max="10750" width="9.19921875" style="1"/>
    <col min="10751" max="10752" width="10.19921875" style="1" customWidth="1"/>
    <col min="10753" max="10753" width="12" style="1" customWidth="1"/>
    <col min="10754" max="11006" width="9.19921875" style="1"/>
    <col min="11007" max="11008" width="10.19921875" style="1" customWidth="1"/>
    <col min="11009" max="11009" width="12" style="1" customWidth="1"/>
    <col min="11010" max="11262" width="9.19921875" style="1"/>
    <col min="11263" max="11264" width="10.19921875" style="1" customWidth="1"/>
    <col min="11265" max="11265" width="12" style="1" customWidth="1"/>
    <col min="11266" max="11518" width="9.19921875" style="1"/>
    <col min="11519" max="11520" width="10.19921875" style="1" customWidth="1"/>
    <col min="11521" max="11521" width="12" style="1" customWidth="1"/>
    <col min="11522" max="11774" width="9.19921875" style="1"/>
    <col min="11775" max="11776" width="10.19921875" style="1" customWidth="1"/>
    <col min="11777" max="11777" width="12" style="1" customWidth="1"/>
    <col min="11778" max="12030" width="9.19921875" style="1"/>
    <col min="12031" max="12032" width="10.19921875" style="1" customWidth="1"/>
    <col min="12033" max="12033" width="12" style="1" customWidth="1"/>
    <col min="12034" max="12286" width="9.19921875" style="1"/>
    <col min="12287" max="12288" width="10.19921875" style="1" customWidth="1"/>
    <col min="12289" max="12289" width="12" style="1" customWidth="1"/>
    <col min="12290" max="12542" width="9.19921875" style="1"/>
    <col min="12543" max="12544" width="10.19921875" style="1" customWidth="1"/>
    <col min="12545" max="12545" width="12" style="1" customWidth="1"/>
    <col min="12546" max="12798" width="9.19921875" style="1"/>
    <col min="12799" max="12800" width="10.19921875" style="1" customWidth="1"/>
    <col min="12801" max="12801" width="12" style="1" customWidth="1"/>
    <col min="12802" max="13054" width="9.19921875" style="1"/>
    <col min="13055" max="13056" width="10.19921875" style="1" customWidth="1"/>
    <col min="13057" max="13057" width="12" style="1" customWidth="1"/>
    <col min="13058" max="13310" width="9.19921875" style="1"/>
    <col min="13311" max="13312" width="10.19921875" style="1" customWidth="1"/>
    <col min="13313" max="13313" width="12" style="1" customWidth="1"/>
    <col min="13314" max="13566" width="9.19921875" style="1"/>
    <col min="13567" max="13568" width="10.19921875" style="1" customWidth="1"/>
    <col min="13569" max="13569" width="12" style="1" customWidth="1"/>
    <col min="13570" max="13822" width="9.19921875" style="1"/>
    <col min="13823" max="13824" width="10.19921875" style="1" customWidth="1"/>
    <col min="13825" max="13825" width="12" style="1" customWidth="1"/>
    <col min="13826" max="14078" width="9.19921875" style="1"/>
    <col min="14079" max="14080" width="10.19921875" style="1" customWidth="1"/>
    <col min="14081" max="14081" width="12" style="1" customWidth="1"/>
    <col min="14082" max="14334" width="9.19921875" style="1"/>
    <col min="14335" max="14336" width="10.19921875" style="1" customWidth="1"/>
    <col min="14337" max="14337" width="12" style="1" customWidth="1"/>
    <col min="14338" max="14590" width="9.19921875" style="1"/>
    <col min="14591" max="14592" width="10.19921875" style="1" customWidth="1"/>
    <col min="14593" max="14593" width="12" style="1" customWidth="1"/>
    <col min="14594" max="14846" width="9.19921875" style="1"/>
    <col min="14847" max="14848" width="10.19921875" style="1" customWidth="1"/>
    <col min="14849" max="14849" width="12" style="1" customWidth="1"/>
    <col min="14850" max="15102" width="9.19921875" style="1"/>
    <col min="15103" max="15104" width="10.19921875" style="1" customWidth="1"/>
    <col min="15105" max="15105" width="12" style="1" customWidth="1"/>
    <col min="15106" max="15358" width="9.19921875" style="1"/>
    <col min="15359" max="15360" width="10.19921875" style="1" customWidth="1"/>
    <col min="15361" max="15361" width="12" style="1" customWidth="1"/>
    <col min="15362" max="15614" width="9.19921875" style="1"/>
    <col min="15615" max="15616" width="10.19921875" style="1" customWidth="1"/>
    <col min="15617" max="15617" width="12" style="1" customWidth="1"/>
    <col min="15618" max="15870" width="9.19921875" style="1"/>
    <col min="15871" max="15872" width="10.19921875" style="1" customWidth="1"/>
    <col min="15873" max="15873" width="12" style="1" customWidth="1"/>
    <col min="15874" max="16126" width="9.19921875" style="1"/>
    <col min="16127" max="16128" width="10.19921875" style="1" customWidth="1"/>
    <col min="16129" max="16129" width="12" style="1" customWidth="1"/>
    <col min="16130" max="16382" width="9.19921875" style="1"/>
    <col min="16383" max="16384" width="9.19921875" style="1" customWidth="1"/>
  </cols>
  <sheetData>
    <row r="1" spans="1:9" s="8" customFormat="1" ht="18" x14ac:dyDescent="0.55000000000000004">
      <c r="A1" s="6" t="s">
        <v>0</v>
      </c>
      <c r="B1" s="7" t="s">
        <v>41</v>
      </c>
      <c r="C1" s="8" t="s">
        <v>42</v>
      </c>
      <c r="D1" s="8" t="s">
        <v>48</v>
      </c>
      <c r="E1" s="8" t="s">
        <v>43</v>
      </c>
      <c r="F1" s="8" t="s">
        <v>44</v>
      </c>
    </row>
    <row r="2" spans="1:9" ht="18" x14ac:dyDescent="0.55000000000000004">
      <c r="A2" s="5">
        <v>43101</v>
      </c>
      <c r="B2" s="1">
        <v>350</v>
      </c>
      <c r="C2" s="1">
        <f>AVERAGE($B$2:$B$37)</f>
        <v>373.47222222222223</v>
      </c>
      <c r="D2" s="1">
        <f>B2-C2</f>
        <v>-23.472222222222229</v>
      </c>
      <c r="E2" s="1">
        <f>ABS(D2)</f>
        <v>23.472222222222229</v>
      </c>
      <c r="F2" s="1">
        <f>D2^2</f>
        <v>550.94521604938302</v>
      </c>
      <c r="H2" s="8" t="s">
        <v>45</v>
      </c>
      <c r="I2" s="1">
        <f>AVERAGE(E2:E37)</f>
        <v>22.66512345679012</v>
      </c>
    </row>
    <row r="3" spans="1:9" ht="18" x14ac:dyDescent="0.55000000000000004">
      <c r="A3" s="5">
        <v>43132</v>
      </c>
      <c r="B3" s="1">
        <v>348</v>
      </c>
      <c r="C3" s="1">
        <f t="shared" ref="C3:C37" si="0">AVERAGE($B$2:$B$37)</f>
        <v>373.47222222222223</v>
      </c>
      <c r="D3" s="1">
        <f t="shared" ref="D3:D37" si="1">B3-C3</f>
        <v>-25.472222222222229</v>
      </c>
      <c r="E3" s="1">
        <f t="shared" ref="E3:E37" si="2">ABS(D3)</f>
        <v>25.472222222222229</v>
      </c>
      <c r="F3" s="1">
        <f t="shared" ref="F3:F37" si="3">D3^2</f>
        <v>648.83410493827193</v>
      </c>
      <c r="H3" s="8" t="s">
        <v>46</v>
      </c>
      <c r="I3" s="1">
        <f>AVERAGE(F3:F37)</f>
        <v>640.34362874779561</v>
      </c>
    </row>
    <row r="4" spans="1:9" ht="18" x14ac:dyDescent="0.55000000000000004">
      <c r="A4" s="5">
        <v>43160</v>
      </c>
      <c r="B4" s="1">
        <v>353</v>
      </c>
      <c r="C4" s="1">
        <f t="shared" si="0"/>
        <v>373.47222222222223</v>
      </c>
      <c r="D4" s="1">
        <f t="shared" si="1"/>
        <v>-20.472222222222229</v>
      </c>
      <c r="E4" s="1">
        <f t="shared" si="2"/>
        <v>20.472222222222229</v>
      </c>
      <c r="F4" s="1">
        <f t="shared" si="3"/>
        <v>419.11188271604965</v>
      </c>
      <c r="H4" s="8" t="s">
        <v>47</v>
      </c>
      <c r="I4" s="1">
        <f>SQRT(I3)</f>
        <v>25.305011929414214</v>
      </c>
    </row>
    <row r="5" spans="1:9" x14ac:dyDescent="0.45">
      <c r="A5" s="5">
        <v>43191</v>
      </c>
      <c r="B5" s="1">
        <v>353</v>
      </c>
      <c r="C5" s="1">
        <f t="shared" si="0"/>
        <v>373.47222222222223</v>
      </c>
      <c r="D5" s="1">
        <f t="shared" si="1"/>
        <v>-20.472222222222229</v>
      </c>
      <c r="E5" s="1">
        <f t="shared" si="2"/>
        <v>20.472222222222229</v>
      </c>
      <c r="F5" s="1">
        <f t="shared" si="3"/>
        <v>419.11188271604965</v>
      </c>
    </row>
    <row r="6" spans="1:9" x14ac:dyDescent="0.45">
      <c r="A6" s="5">
        <v>43221</v>
      </c>
      <c r="B6" s="1">
        <v>349</v>
      </c>
      <c r="C6" s="1">
        <f t="shared" si="0"/>
        <v>373.47222222222223</v>
      </c>
      <c r="D6" s="1">
        <f t="shared" si="1"/>
        <v>-24.472222222222229</v>
      </c>
      <c r="E6" s="1">
        <f t="shared" si="2"/>
        <v>24.472222222222229</v>
      </c>
      <c r="F6" s="1">
        <f t="shared" si="3"/>
        <v>598.88966049382748</v>
      </c>
    </row>
    <row r="7" spans="1:9" x14ac:dyDescent="0.45">
      <c r="A7" s="5">
        <v>43252</v>
      </c>
      <c r="B7" s="1">
        <v>377</v>
      </c>
      <c r="C7" s="1">
        <f t="shared" si="0"/>
        <v>373.47222222222223</v>
      </c>
      <c r="D7" s="1">
        <f t="shared" si="1"/>
        <v>3.5277777777777715</v>
      </c>
      <c r="E7" s="1">
        <f t="shared" si="2"/>
        <v>3.5277777777777715</v>
      </c>
      <c r="F7" s="1">
        <f t="shared" si="3"/>
        <v>12.445216049382671</v>
      </c>
    </row>
    <row r="8" spans="1:9" x14ac:dyDescent="0.45">
      <c r="A8" s="5">
        <v>43282</v>
      </c>
      <c r="B8" s="1">
        <v>375</v>
      </c>
      <c r="C8" s="1">
        <f t="shared" si="0"/>
        <v>373.47222222222223</v>
      </c>
      <c r="D8" s="1">
        <f t="shared" si="1"/>
        <v>1.5277777777777715</v>
      </c>
      <c r="E8" s="1">
        <f t="shared" si="2"/>
        <v>1.5277777777777715</v>
      </c>
      <c r="F8" s="1">
        <f t="shared" si="3"/>
        <v>2.3341049382715857</v>
      </c>
    </row>
    <row r="9" spans="1:9" x14ac:dyDescent="0.45">
      <c r="A9" s="5">
        <v>43313</v>
      </c>
      <c r="B9" s="1">
        <v>403</v>
      </c>
      <c r="C9" s="1">
        <f t="shared" si="0"/>
        <v>373.47222222222223</v>
      </c>
      <c r="D9" s="1">
        <f t="shared" si="1"/>
        <v>29.527777777777771</v>
      </c>
      <c r="E9" s="1">
        <f t="shared" si="2"/>
        <v>29.527777777777771</v>
      </c>
      <c r="F9" s="1">
        <f t="shared" si="3"/>
        <v>871.8896604938268</v>
      </c>
    </row>
    <row r="10" spans="1:9" x14ac:dyDescent="0.45">
      <c r="A10" s="5">
        <v>43344</v>
      </c>
      <c r="B10" s="1">
        <v>412</v>
      </c>
      <c r="C10" s="1">
        <f t="shared" si="0"/>
        <v>373.47222222222223</v>
      </c>
      <c r="D10" s="1">
        <f t="shared" si="1"/>
        <v>38.527777777777771</v>
      </c>
      <c r="E10" s="1">
        <f t="shared" si="2"/>
        <v>38.527777777777771</v>
      </c>
      <c r="F10" s="1">
        <f t="shared" si="3"/>
        <v>1484.3896604938266</v>
      </c>
    </row>
    <row r="11" spans="1:9" x14ac:dyDescent="0.45">
      <c r="A11" s="5">
        <v>43374</v>
      </c>
      <c r="B11" s="1">
        <v>409</v>
      </c>
      <c r="C11" s="1">
        <f t="shared" si="0"/>
        <v>373.47222222222223</v>
      </c>
      <c r="D11" s="1">
        <f t="shared" si="1"/>
        <v>35.527777777777771</v>
      </c>
      <c r="E11" s="1">
        <f t="shared" si="2"/>
        <v>35.527777777777771</v>
      </c>
      <c r="F11" s="1">
        <f t="shared" si="3"/>
        <v>1262.2229938271601</v>
      </c>
    </row>
    <row r="12" spans="1:9" x14ac:dyDescent="0.45">
      <c r="A12" s="5">
        <v>43405</v>
      </c>
      <c r="B12" s="1">
        <v>398</v>
      </c>
      <c r="C12" s="1">
        <f t="shared" si="0"/>
        <v>373.47222222222223</v>
      </c>
      <c r="D12" s="1">
        <f t="shared" si="1"/>
        <v>24.527777777777771</v>
      </c>
      <c r="E12" s="1">
        <f t="shared" si="2"/>
        <v>24.527777777777771</v>
      </c>
      <c r="F12" s="1">
        <f t="shared" si="3"/>
        <v>601.61188271604908</v>
      </c>
    </row>
    <row r="13" spans="1:9" x14ac:dyDescent="0.45">
      <c r="A13" s="5">
        <v>43435</v>
      </c>
      <c r="B13" s="1">
        <v>357</v>
      </c>
      <c r="C13" s="1">
        <f t="shared" si="0"/>
        <v>373.47222222222223</v>
      </c>
      <c r="D13" s="1">
        <f t="shared" si="1"/>
        <v>-16.472222222222229</v>
      </c>
      <c r="E13" s="1">
        <f t="shared" si="2"/>
        <v>16.472222222222229</v>
      </c>
      <c r="F13" s="1">
        <f t="shared" si="3"/>
        <v>271.33410493827182</v>
      </c>
    </row>
    <row r="14" spans="1:9" x14ac:dyDescent="0.45">
      <c r="A14" s="5">
        <v>43466</v>
      </c>
      <c r="B14" s="1">
        <v>349</v>
      </c>
      <c r="C14" s="1">
        <f t="shared" si="0"/>
        <v>373.47222222222223</v>
      </c>
      <c r="D14" s="1">
        <f t="shared" si="1"/>
        <v>-24.472222222222229</v>
      </c>
      <c r="E14" s="1">
        <f t="shared" si="2"/>
        <v>24.472222222222229</v>
      </c>
      <c r="F14" s="1">
        <f t="shared" si="3"/>
        <v>598.88966049382748</v>
      </c>
    </row>
    <row r="15" spans="1:9" x14ac:dyDescent="0.45">
      <c r="A15" s="5">
        <v>43497</v>
      </c>
      <c r="B15" s="1">
        <v>351</v>
      </c>
      <c r="C15" s="1">
        <f t="shared" si="0"/>
        <v>373.47222222222223</v>
      </c>
      <c r="D15" s="1">
        <f t="shared" si="1"/>
        <v>-22.472222222222229</v>
      </c>
      <c r="E15" s="1">
        <f t="shared" si="2"/>
        <v>22.472222222222229</v>
      </c>
      <c r="F15" s="1">
        <f t="shared" si="3"/>
        <v>505.00077160493856</v>
      </c>
    </row>
    <row r="16" spans="1:9" x14ac:dyDescent="0.45">
      <c r="A16" s="5">
        <v>43525</v>
      </c>
      <c r="B16" s="1">
        <v>350</v>
      </c>
      <c r="C16" s="1">
        <f t="shared" si="0"/>
        <v>373.47222222222223</v>
      </c>
      <c r="D16" s="1">
        <f t="shared" si="1"/>
        <v>-23.472222222222229</v>
      </c>
      <c r="E16" s="1">
        <f t="shared" si="2"/>
        <v>23.472222222222229</v>
      </c>
      <c r="F16" s="1">
        <f t="shared" si="3"/>
        <v>550.94521604938302</v>
      </c>
    </row>
    <row r="17" spans="1:6" x14ac:dyDescent="0.45">
      <c r="A17" s="5">
        <v>43556</v>
      </c>
      <c r="B17" s="1">
        <v>355</v>
      </c>
      <c r="C17" s="1">
        <f t="shared" si="0"/>
        <v>373.47222222222223</v>
      </c>
      <c r="D17" s="1">
        <f t="shared" si="1"/>
        <v>-18.472222222222229</v>
      </c>
      <c r="E17" s="1">
        <f t="shared" si="2"/>
        <v>18.472222222222229</v>
      </c>
      <c r="F17" s="1">
        <f t="shared" si="3"/>
        <v>341.22299382716074</v>
      </c>
    </row>
    <row r="18" spans="1:6" x14ac:dyDescent="0.45">
      <c r="A18" s="5">
        <v>43586</v>
      </c>
      <c r="B18" s="1">
        <v>346</v>
      </c>
      <c r="C18" s="1">
        <f t="shared" si="0"/>
        <v>373.47222222222223</v>
      </c>
      <c r="D18" s="1">
        <f t="shared" si="1"/>
        <v>-27.472222222222229</v>
      </c>
      <c r="E18" s="1">
        <f t="shared" si="2"/>
        <v>27.472222222222229</v>
      </c>
      <c r="F18" s="1">
        <f t="shared" si="3"/>
        <v>754.72299382716085</v>
      </c>
    </row>
    <row r="19" spans="1:6" x14ac:dyDescent="0.45">
      <c r="A19" s="5">
        <v>43617</v>
      </c>
      <c r="B19" s="1">
        <v>377</v>
      </c>
      <c r="C19" s="1">
        <f t="shared" si="0"/>
        <v>373.47222222222223</v>
      </c>
      <c r="D19" s="1">
        <f t="shared" si="1"/>
        <v>3.5277777777777715</v>
      </c>
      <c r="E19" s="1">
        <f t="shared" si="2"/>
        <v>3.5277777777777715</v>
      </c>
      <c r="F19" s="1">
        <f t="shared" si="3"/>
        <v>12.445216049382671</v>
      </c>
    </row>
    <row r="20" spans="1:6" x14ac:dyDescent="0.45">
      <c r="A20" s="5">
        <v>43647</v>
      </c>
      <c r="B20" s="1">
        <v>372</v>
      </c>
      <c r="C20" s="1">
        <f t="shared" si="0"/>
        <v>373.47222222222223</v>
      </c>
      <c r="D20" s="1">
        <f t="shared" si="1"/>
        <v>-1.4722222222222285</v>
      </c>
      <c r="E20" s="1">
        <f t="shared" si="2"/>
        <v>1.4722222222222285</v>
      </c>
      <c r="F20" s="1">
        <f t="shared" si="3"/>
        <v>2.1674382716049569</v>
      </c>
    </row>
    <row r="21" spans="1:6" x14ac:dyDescent="0.45">
      <c r="A21" s="5">
        <v>43678</v>
      </c>
      <c r="B21" s="1">
        <v>405</v>
      </c>
      <c r="C21" s="1">
        <f t="shared" si="0"/>
        <v>373.47222222222223</v>
      </c>
      <c r="D21" s="1">
        <f t="shared" si="1"/>
        <v>31.527777777777771</v>
      </c>
      <c r="E21" s="1">
        <f t="shared" si="2"/>
        <v>31.527777777777771</v>
      </c>
      <c r="F21" s="1">
        <f t="shared" si="3"/>
        <v>994.00077160493788</v>
      </c>
    </row>
    <row r="22" spans="1:6" x14ac:dyDescent="0.45">
      <c r="A22" s="5">
        <v>43709</v>
      </c>
      <c r="B22" s="1">
        <v>416</v>
      </c>
      <c r="C22" s="1">
        <f t="shared" si="0"/>
        <v>373.47222222222223</v>
      </c>
      <c r="D22" s="1">
        <f t="shared" si="1"/>
        <v>42.527777777777771</v>
      </c>
      <c r="E22" s="1">
        <f t="shared" si="2"/>
        <v>42.527777777777771</v>
      </c>
      <c r="F22" s="1">
        <f t="shared" si="3"/>
        <v>1808.6118827160487</v>
      </c>
    </row>
    <row r="23" spans="1:6" x14ac:dyDescent="0.45">
      <c r="A23" s="5">
        <v>43739</v>
      </c>
      <c r="B23" s="1">
        <v>407</v>
      </c>
      <c r="C23" s="1">
        <f t="shared" si="0"/>
        <v>373.47222222222223</v>
      </c>
      <c r="D23" s="1">
        <f t="shared" si="1"/>
        <v>33.527777777777771</v>
      </c>
      <c r="E23" s="1">
        <f t="shared" si="2"/>
        <v>33.527777777777771</v>
      </c>
      <c r="F23" s="1">
        <f t="shared" si="3"/>
        <v>1124.111882716049</v>
      </c>
    </row>
    <row r="24" spans="1:6" x14ac:dyDescent="0.45">
      <c r="A24" s="5">
        <v>43770</v>
      </c>
      <c r="B24" s="1">
        <v>399</v>
      </c>
      <c r="C24" s="1">
        <f t="shared" si="0"/>
        <v>373.47222222222223</v>
      </c>
      <c r="D24" s="1">
        <f t="shared" si="1"/>
        <v>25.527777777777771</v>
      </c>
      <c r="E24" s="1">
        <f t="shared" si="2"/>
        <v>25.527777777777771</v>
      </c>
      <c r="F24" s="1">
        <f t="shared" si="3"/>
        <v>651.66743827160462</v>
      </c>
    </row>
    <row r="25" spans="1:6" x14ac:dyDescent="0.45">
      <c r="A25" s="5">
        <v>43800</v>
      </c>
      <c r="B25" s="1">
        <v>355</v>
      </c>
      <c r="C25" s="1">
        <f t="shared" si="0"/>
        <v>373.47222222222223</v>
      </c>
      <c r="D25" s="1">
        <f t="shared" si="1"/>
        <v>-18.472222222222229</v>
      </c>
      <c r="E25" s="1">
        <f t="shared" si="2"/>
        <v>18.472222222222229</v>
      </c>
      <c r="F25" s="1">
        <f t="shared" si="3"/>
        <v>341.22299382716074</v>
      </c>
    </row>
    <row r="26" spans="1:6" x14ac:dyDescent="0.45">
      <c r="A26" s="5">
        <v>43831</v>
      </c>
      <c r="B26" s="1">
        <v>347</v>
      </c>
      <c r="C26" s="1">
        <f t="shared" si="0"/>
        <v>373.47222222222223</v>
      </c>
      <c r="D26" s="1">
        <f t="shared" si="1"/>
        <v>-26.472222222222229</v>
      </c>
      <c r="E26" s="1">
        <f t="shared" si="2"/>
        <v>26.472222222222229</v>
      </c>
      <c r="F26" s="1">
        <f t="shared" si="3"/>
        <v>700.77854938271639</v>
      </c>
    </row>
    <row r="27" spans="1:6" x14ac:dyDescent="0.45">
      <c r="A27" s="5">
        <v>43862</v>
      </c>
      <c r="B27" s="1">
        <v>351</v>
      </c>
      <c r="C27" s="1">
        <f t="shared" si="0"/>
        <v>373.47222222222223</v>
      </c>
      <c r="D27" s="1">
        <f t="shared" si="1"/>
        <v>-22.472222222222229</v>
      </c>
      <c r="E27" s="1">
        <f t="shared" si="2"/>
        <v>22.472222222222229</v>
      </c>
      <c r="F27" s="1">
        <f t="shared" si="3"/>
        <v>505.00077160493856</v>
      </c>
    </row>
    <row r="28" spans="1:6" x14ac:dyDescent="0.45">
      <c r="A28" s="5">
        <v>43891</v>
      </c>
      <c r="B28" s="1">
        <v>350</v>
      </c>
      <c r="C28" s="1">
        <f t="shared" si="0"/>
        <v>373.47222222222223</v>
      </c>
      <c r="D28" s="1">
        <f t="shared" si="1"/>
        <v>-23.472222222222229</v>
      </c>
      <c r="E28" s="1">
        <f t="shared" si="2"/>
        <v>23.472222222222229</v>
      </c>
      <c r="F28" s="1">
        <f t="shared" si="3"/>
        <v>550.94521604938302</v>
      </c>
    </row>
    <row r="29" spans="1:6" x14ac:dyDescent="0.45">
      <c r="A29" s="5">
        <v>43922</v>
      </c>
      <c r="B29" s="1">
        <v>352</v>
      </c>
      <c r="C29" s="1">
        <f t="shared" si="0"/>
        <v>373.47222222222223</v>
      </c>
      <c r="D29" s="1">
        <f t="shared" si="1"/>
        <v>-21.472222222222229</v>
      </c>
      <c r="E29" s="1">
        <f t="shared" si="2"/>
        <v>21.472222222222229</v>
      </c>
      <c r="F29" s="1">
        <f t="shared" si="3"/>
        <v>461.05632716049411</v>
      </c>
    </row>
    <row r="30" spans="1:6" x14ac:dyDescent="0.45">
      <c r="A30" s="5">
        <v>43952</v>
      </c>
      <c r="B30" s="1">
        <v>343</v>
      </c>
      <c r="C30" s="1">
        <f t="shared" si="0"/>
        <v>373.47222222222223</v>
      </c>
      <c r="D30" s="1">
        <f t="shared" si="1"/>
        <v>-30.472222222222229</v>
      </c>
      <c r="E30" s="1">
        <f t="shared" si="2"/>
        <v>30.472222222222229</v>
      </c>
      <c r="F30" s="1">
        <f t="shared" si="3"/>
        <v>928.55632716049422</v>
      </c>
    </row>
    <row r="31" spans="1:6" x14ac:dyDescent="0.45">
      <c r="A31" s="5">
        <v>43983</v>
      </c>
      <c r="B31" s="1">
        <v>374</v>
      </c>
      <c r="C31" s="1">
        <f t="shared" si="0"/>
        <v>373.47222222222223</v>
      </c>
      <c r="D31" s="1">
        <f t="shared" si="1"/>
        <v>0.52777777777777146</v>
      </c>
      <c r="E31" s="1">
        <f t="shared" si="2"/>
        <v>0.52777777777777146</v>
      </c>
      <c r="F31" s="1">
        <f t="shared" si="3"/>
        <v>0.27854938271604274</v>
      </c>
    </row>
    <row r="32" spans="1:6" x14ac:dyDescent="0.45">
      <c r="A32" s="5">
        <v>44013</v>
      </c>
      <c r="B32" s="1">
        <v>375</v>
      </c>
      <c r="C32" s="1">
        <f t="shared" si="0"/>
        <v>373.47222222222223</v>
      </c>
      <c r="D32" s="1">
        <f t="shared" si="1"/>
        <v>1.5277777777777715</v>
      </c>
      <c r="E32" s="1">
        <f t="shared" si="2"/>
        <v>1.5277777777777715</v>
      </c>
      <c r="F32" s="1">
        <f t="shared" si="3"/>
        <v>2.3341049382715857</v>
      </c>
    </row>
    <row r="33" spans="1:6" x14ac:dyDescent="0.45">
      <c r="A33" s="5">
        <v>44044</v>
      </c>
      <c r="B33" s="1">
        <v>408</v>
      </c>
      <c r="C33" s="1">
        <f t="shared" si="0"/>
        <v>373.47222222222223</v>
      </c>
      <c r="D33" s="1">
        <f t="shared" si="1"/>
        <v>34.527777777777771</v>
      </c>
      <c r="E33" s="1">
        <f t="shared" si="2"/>
        <v>34.527777777777771</v>
      </c>
      <c r="F33" s="1">
        <f t="shared" si="3"/>
        <v>1192.1674382716044</v>
      </c>
    </row>
    <row r="34" spans="1:6" x14ac:dyDescent="0.45">
      <c r="A34" s="5">
        <v>44075</v>
      </c>
      <c r="B34" s="1">
        <v>412</v>
      </c>
      <c r="C34" s="1">
        <f t="shared" si="0"/>
        <v>373.47222222222223</v>
      </c>
      <c r="D34" s="1">
        <f t="shared" si="1"/>
        <v>38.527777777777771</v>
      </c>
      <c r="E34" s="1">
        <f t="shared" si="2"/>
        <v>38.527777777777771</v>
      </c>
      <c r="F34" s="1">
        <f t="shared" si="3"/>
        <v>1484.3896604938266</v>
      </c>
    </row>
    <row r="35" spans="1:6" x14ac:dyDescent="0.45">
      <c r="A35" s="5">
        <v>44105</v>
      </c>
      <c r="B35" s="1">
        <v>410</v>
      </c>
      <c r="C35" s="1">
        <f t="shared" si="0"/>
        <v>373.47222222222223</v>
      </c>
      <c r="D35" s="1">
        <f t="shared" si="1"/>
        <v>36.527777777777771</v>
      </c>
      <c r="E35" s="1">
        <f t="shared" si="2"/>
        <v>36.527777777777771</v>
      </c>
      <c r="F35" s="1">
        <f t="shared" si="3"/>
        <v>1334.2785493827155</v>
      </c>
    </row>
    <row r="36" spans="1:6" x14ac:dyDescent="0.45">
      <c r="A36" s="5">
        <v>44136</v>
      </c>
      <c r="B36" s="1">
        <v>400</v>
      </c>
      <c r="C36" s="1">
        <f t="shared" si="0"/>
        <v>373.47222222222223</v>
      </c>
      <c r="D36" s="1">
        <f t="shared" si="1"/>
        <v>26.527777777777771</v>
      </c>
      <c r="E36" s="1">
        <f t="shared" si="2"/>
        <v>26.527777777777771</v>
      </c>
      <c r="F36" s="1">
        <f t="shared" si="3"/>
        <v>703.72299382716017</v>
      </c>
    </row>
    <row r="37" spans="1:6" x14ac:dyDescent="0.45">
      <c r="A37" s="5">
        <v>44166</v>
      </c>
      <c r="B37" s="1">
        <v>357</v>
      </c>
      <c r="C37" s="1">
        <f t="shared" si="0"/>
        <v>373.47222222222223</v>
      </c>
      <c r="D37" s="1">
        <f t="shared" si="1"/>
        <v>-16.472222222222229</v>
      </c>
      <c r="E37" s="1">
        <f t="shared" si="2"/>
        <v>16.472222222222229</v>
      </c>
      <c r="F37" s="1">
        <f t="shared" si="3"/>
        <v>271.33410493827182</v>
      </c>
    </row>
    <row r="38" spans="1:6" x14ac:dyDescent="0.45">
      <c r="A38" s="5">
        <v>44197</v>
      </c>
      <c r="C38" s="10">
        <f>AVERAGE(B2:B37)</f>
        <v>373.47222222222223</v>
      </c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C0F4-A163-4C69-A344-F7113F5AAAF7}">
  <dimension ref="A1:I38"/>
  <sheetViews>
    <sheetView topLeftCell="D1" zoomScaleNormal="100" workbookViewId="0">
      <pane ySplit="1" topLeftCell="A8" activePane="bottomLeft" state="frozen"/>
      <selection pane="bottomLeft" activeCell="F38" sqref="F38"/>
    </sheetView>
  </sheetViews>
  <sheetFormatPr defaultRowHeight="14.25" x14ac:dyDescent="0.45"/>
  <cols>
    <col min="1" max="1" width="10.19921875" style="2" customWidth="1"/>
    <col min="2" max="2" width="16.73046875" style="1" bestFit="1" customWidth="1"/>
    <col min="3" max="3" width="14" style="1" bestFit="1" customWidth="1"/>
    <col min="4" max="4" width="11.9296875" style="1" bestFit="1" customWidth="1"/>
    <col min="5" max="5" width="17.265625" style="1" bestFit="1" customWidth="1"/>
    <col min="6" max="6" width="17.06640625" style="1" customWidth="1"/>
    <col min="7" max="254" width="8.73046875" style="1"/>
    <col min="255" max="256" width="10.19921875" style="1" customWidth="1"/>
    <col min="257" max="257" width="12" style="1" customWidth="1"/>
    <col min="258" max="510" width="8.73046875" style="1"/>
    <col min="511" max="512" width="10.19921875" style="1" customWidth="1"/>
    <col min="513" max="513" width="12" style="1" customWidth="1"/>
    <col min="514" max="766" width="8.73046875" style="1"/>
    <col min="767" max="768" width="10.19921875" style="1" customWidth="1"/>
    <col min="769" max="769" width="12" style="1" customWidth="1"/>
    <col min="770" max="1022" width="8.73046875" style="1"/>
    <col min="1023" max="1024" width="10.19921875" style="1" customWidth="1"/>
    <col min="1025" max="1025" width="12" style="1" customWidth="1"/>
    <col min="1026" max="1278" width="8.73046875" style="1"/>
    <col min="1279" max="1280" width="10.19921875" style="1" customWidth="1"/>
    <col min="1281" max="1281" width="12" style="1" customWidth="1"/>
    <col min="1282" max="1534" width="8.73046875" style="1"/>
    <col min="1535" max="1536" width="10.19921875" style="1" customWidth="1"/>
    <col min="1537" max="1537" width="12" style="1" customWidth="1"/>
    <col min="1538" max="1790" width="8.73046875" style="1"/>
    <col min="1791" max="1792" width="10.19921875" style="1" customWidth="1"/>
    <col min="1793" max="1793" width="12" style="1" customWidth="1"/>
    <col min="1794" max="2046" width="8.73046875" style="1"/>
    <col min="2047" max="2048" width="10.19921875" style="1" customWidth="1"/>
    <col min="2049" max="2049" width="12" style="1" customWidth="1"/>
    <col min="2050" max="2302" width="8.73046875" style="1"/>
    <col min="2303" max="2304" width="10.19921875" style="1" customWidth="1"/>
    <col min="2305" max="2305" width="12" style="1" customWidth="1"/>
    <col min="2306" max="2558" width="8.73046875" style="1"/>
    <col min="2559" max="2560" width="10.19921875" style="1" customWidth="1"/>
    <col min="2561" max="2561" width="12" style="1" customWidth="1"/>
    <col min="2562" max="2814" width="8.73046875" style="1"/>
    <col min="2815" max="2816" width="10.19921875" style="1" customWidth="1"/>
    <col min="2817" max="2817" width="12" style="1" customWidth="1"/>
    <col min="2818" max="3070" width="8.73046875" style="1"/>
    <col min="3071" max="3072" width="10.19921875" style="1" customWidth="1"/>
    <col min="3073" max="3073" width="12" style="1" customWidth="1"/>
    <col min="3074" max="3326" width="8.73046875" style="1"/>
    <col min="3327" max="3328" width="10.19921875" style="1" customWidth="1"/>
    <col min="3329" max="3329" width="12" style="1" customWidth="1"/>
    <col min="3330" max="3582" width="8.73046875" style="1"/>
    <col min="3583" max="3584" width="10.19921875" style="1" customWidth="1"/>
    <col min="3585" max="3585" width="12" style="1" customWidth="1"/>
    <col min="3586" max="3838" width="8.73046875" style="1"/>
    <col min="3839" max="3840" width="10.19921875" style="1" customWidth="1"/>
    <col min="3841" max="3841" width="12" style="1" customWidth="1"/>
    <col min="3842" max="4094" width="8.73046875" style="1"/>
    <col min="4095" max="4096" width="10.19921875" style="1" customWidth="1"/>
    <col min="4097" max="4097" width="12" style="1" customWidth="1"/>
    <col min="4098" max="4350" width="8.73046875" style="1"/>
    <col min="4351" max="4352" width="10.19921875" style="1" customWidth="1"/>
    <col min="4353" max="4353" width="12" style="1" customWidth="1"/>
    <col min="4354" max="4606" width="8.73046875" style="1"/>
    <col min="4607" max="4608" width="10.19921875" style="1" customWidth="1"/>
    <col min="4609" max="4609" width="12" style="1" customWidth="1"/>
    <col min="4610" max="4862" width="8.73046875" style="1"/>
    <col min="4863" max="4864" width="10.19921875" style="1" customWidth="1"/>
    <col min="4865" max="4865" width="12" style="1" customWidth="1"/>
    <col min="4866" max="5118" width="8.73046875" style="1"/>
    <col min="5119" max="5120" width="10.19921875" style="1" customWidth="1"/>
    <col min="5121" max="5121" width="12" style="1" customWidth="1"/>
    <col min="5122" max="5374" width="8.73046875" style="1"/>
    <col min="5375" max="5376" width="10.19921875" style="1" customWidth="1"/>
    <col min="5377" max="5377" width="12" style="1" customWidth="1"/>
    <col min="5378" max="5630" width="8.73046875" style="1"/>
    <col min="5631" max="5632" width="10.19921875" style="1" customWidth="1"/>
    <col min="5633" max="5633" width="12" style="1" customWidth="1"/>
    <col min="5634" max="5886" width="8.73046875" style="1"/>
    <col min="5887" max="5888" width="10.19921875" style="1" customWidth="1"/>
    <col min="5889" max="5889" width="12" style="1" customWidth="1"/>
    <col min="5890" max="6142" width="8.73046875" style="1"/>
    <col min="6143" max="6144" width="10.19921875" style="1" customWidth="1"/>
    <col min="6145" max="6145" width="12" style="1" customWidth="1"/>
    <col min="6146" max="6398" width="8.73046875" style="1"/>
    <col min="6399" max="6400" width="10.19921875" style="1" customWidth="1"/>
    <col min="6401" max="6401" width="12" style="1" customWidth="1"/>
    <col min="6402" max="6654" width="8.73046875" style="1"/>
    <col min="6655" max="6656" width="10.19921875" style="1" customWidth="1"/>
    <col min="6657" max="6657" width="12" style="1" customWidth="1"/>
    <col min="6658" max="6910" width="8.73046875" style="1"/>
    <col min="6911" max="6912" width="10.19921875" style="1" customWidth="1"/>
    <col min="6913" max="6913" width="12" style="1" customWidth="1"/>
    <col min="6914" max="7166" width="8.73046875" style="1"/>
    <col min="7167" max="7168" width="10.19921875" style="1" customWidth="1"/>
    <col min="7169" max="7169" width="12" style="1" customWidth="1"/>
    <col min="7170" max="7422" width="8.73046875" style="1"/>
    <col min="7423" max="7424" width="10.19921875" style="1" customWidth="1"/>
    <col min="7425" max="7425" width="12" style="1" customWidth="1"/>
    <col min="7426" max="7678" width="8.73046875" style="1"/>
    <col min="7679" max="7680" width="10.19921875" style="1" customWidth="1"/>
    <col min="7681" max="7681" width="12" style="1" customWidth="1"/>
    <col min="7682" max="7934" width="8.73046875" style="1"/>
    <col min="7935" max="7936" width="10.19921875" style="1" customWidth="1"/>
    <col min="7937" max="7937" width="12" style="1" customWidth="1"/>
    <col min="7938" max="8190" width="8.73046875" style="1"/>
    <col min="8191" max="8192" width="10.19921875" style="1" customWidth="1"/>
    <col min="8193" max="8193" width="12" style="1" customWidth="1"/>
    <col min="8194" max="8446" width="8.73046875" style="1"/>
    <col min="8447" max="8448" width="10.19921875" style="1" customWidth="1"/>
    <col min="8449" max="8449" width="12" style="1" customWidth="1"/>
    <col min="8450" max="8702" width="8.73046875" style="1"/>
    <col min="8703" max="8704" width="10.19921875" style="1" customWidth="1"/>
    <col min="8705" max="8705" width="12" style="1" customWidth="1"/>
    <col min="8706" max="8958" width="8.73046875" style="1"/>
    <col min="8959" max="8960" width="10.19921875" style="1" customWidth="1"/>
    <col min="8961" max="8961" width="12" style="1" customWidth="1"/>
    <col min="8962" max="9214" width="8.73046875" style="1"/>
    <col min="9215" max="9216" width="10.19921875" style="1" customWidth="1"/>
    <col min="9217" max="9217" width="12" style="1" customWidth="1"/>
    <col min="9218" max="9470" width="8.73046875" style="1"/>
    <col min="9471" max="9472" width="10.19921875" style="1" customWidth="1"/>
    <col min="9473" max="9473" width="12" style="1" customWidth="1"/>
    <col min="9474" max="9726" width="8.73046875" style="1"/>
    <col min="9727" max="9728" width="10.19921875" style="1" customWidth="1"/>
    <col min="9729" max="9729" width="12" style="1" customWidth="1"/>
    <col min="9730" max="9982" width="8.73046875" style="1"/>
    <col min="9983" max="9984" width="10.19921875" style="1" customWidth="1"/>
    <col min="9985" max="9985" width="12" style="1" customWidth="1"/>
    <col min="9986" max="10238" width="8.73046875" style="1"/>
    <col min="10239" max="10240" width="10.19921875" style="1" customWidth="1"/>
    <col min="10241" max="10241" width="12" style="1" customWidth="1"/>
    <col min="10242" max="10494" width="8.73046875" style="1"/>
    <col min="10495" max="10496" width="10.19921875" style="1" customWidth="1"/>
    <col min="10497" max="10497" width="12" style="1" customWidth="1"/>
    <col min="10498" max="10750" width="8.73046875" style="1"/>
    <col min="10751" max="10752" width="10.19921875" style="1" customWidth="1"/>
    <col min="10753" max="10753" width="12" style="1" customWidth="1"/>
    <col min="10754" max="11006" width="8.73046875" style="1"/>
    <col min="11007" max="11008" width="10.19921875" style="1" customWidth="1"/>
    <col min="11009" max="11009" width="12" style="1" customWidth="1"/>
    <col min="11010" max="11262" width="8.73046875" style="1"/>
    <col min="11263" max="11264" width="10.19921875" style="1" customWidth="1"/>
    <col min="11265" max="11265" width="12" style="1" customWidth="1"/>
    <col min="11266" max="11518" width="8.73046875" style="1"/>
    <col min="11519" max="11520" width="10.19921875" style="1" customWidth="1"/>
    <col min="11521" max="11521" width="12" style="1" customWidth="1"/>
    <col min="11522" max="11774" width="8.73046875" style="1"/>
    <col min="11775" max="11776" width="10.19921875" style="1" customWidth="1"/>
    <col min="11777" max="11777" width="12" style="1" customWidth="1"/>
    <col min="11778" max="12030" width="8.73046875" style="1"/>
    <col min="12031" max="12032" width="10.19921875" style="1" customWidth="1"/>
    <col min="12033" max="12033" width="12" style="1" customWidth="1"/>
    <col min="12034" max="12286" width="8.73046875" style="1"/>
    <col min="12287" max="12288" width="10.19921875" style="1" customWidth="1"/>
    <col min="12289" max="12289" width="12" style="1" customWidth="1"/>
    <col min="12290" max="12542" width="8.73046875" style="1"/>
    <col min="12543" max="12544" width="10.19921875" style="1" customWidth="1"/>
    <col min="12545" max="12545" width="12" style="1" customWidth="1"/>
    <col min="12546" max="12798" width="8.73046875" style="1"/>
    <col min="12799" max="12800" width="10.19921875" style="1" customWidth="1"/>
    <col min="12801" max="12801" width="12" style="1" customWidth="1"/>
    <col min="12802" max="13054" width="8.73046875" style="1"/>
    <col min="13055" max="13056" width="10.19921875" style="1" customWidth="1"/>
    <col min="13057" max="13057" width="12" style="1" customWidth="1"/>
    <col min="13058" max="13310" width="8.73046875" style="1"/>
    <col min="13311" max="13312" width="10.19921875" style="1" customWidth="1"/>
    <col min="13313" max="13313" width="12" style="1" customWidth="1"/>
    <col min="13314" max="13566" width="8.73046875" style="1"/>
    <col min="13567" max="13568" width="10.19921875" style="1" customWidth="1"/>
    <col min="13569" max="13569" width="12" style="1" customWidth="1"/>
    <col min="13570" max="13822" width="8.73046875" style="1"/>
    <col min="13823" max="13824" width="10.19921875" style="1" customWidth="1"/>
    <col min="13825" max="13825" width="12" style="1" customWidth="1"/>
    <col min="13826" max="14078" width="8.73046875" style="1"/>
    <col min="14079" max="14080" width="10.19921875" style="1" customWidth="1"/>
    <col min="14081" max="14081" width="12" style="1" customWidth="1"/>
    <col min="14082" max="14334" width="8.73046875" style="1"/>
    <col min="14335" max="14336" width="10.19921875" style="1" customWidth="1"/>
    <col min="14337" max="14337" width="12" style="1" customWidth="1"/>
    <col min="14338" max="14590" width="8.73046875" style="1"/>
    <col min="14591" max="14592" width="10.19921875" style="1" customWidth="1"/>
    <col min="14593" max="14593" width="12" style="1" customWidth="1"/>
    <col min="14594" max="14846" width="8.73046875" style="1"/>
    <col min="14847" max="14848" width="10.19921875" style="1" customWidth="1"/>
    <col min="14849" max="14849" width="12" style="1" customWidth="1"/>
    <col min="14850" max="15102" width="8.73046875" style="1"/>
    <col min="15103" max="15104" width="10.19921875" style="1" customWidth="1"/>
    <col min="15105" max="15105" width="12" style="1" customWidth="1"/>
    <col min="15106" max="15358" width="8.73046875" style="1"/>
    <col min="15359" max="15360" width="10.19921875" style="1" customWidth="1"/>
    <col min="15361" max="15361" width="12" style="1" customWidth="1"/>
    <col min="15362" max="15614" width="8.73046875" style="1"/>
    <col min="15615" max="15616" width="10.19921875" style="1" customWidth="1"/>
    <col min="15617" max="15617" width="12" style="1" customWidth="1"/>
    <col min="15618" max="15870" width="8.73046875" style="1"/>
    <col min="15871" max="15872" width="10.19921875" style="1" customWidth="1"/>
    <col min="15873" max="15873" width="12" style="1" customWidth="1"/>
    <col min="15874" max="16126" width="8.73046875" style="1"/>
    <col min="16127" max="16128" width="10.19921875" style="1" customWidth="1"/>
    <col min="16129" max="16129" width="12" style="1" customWidth="1"/>
    <col min="16130" max="16382" width="8.73046875" style="1"/>
    <col min="16383" max="16384" width="9.19921875" style="1" customWidth="1"/>
  </cols>
  <sheetData>
    <row r="1" spans="1:9" s="8" customFormat="1" ht="18" x14ac:dyDescent="0.55000000000000004">
      <c r="A1" s="6" t="s">
        <v>0</v>
      </c>
      <c r="B1" s="7" t="s">
        <v>41</v>
      </c>
      <c r="C1" s="8" t="s">
        <v>42</v>
      </c>
      <c r="D1" s="8" t="s">
        <v>48</v>
      </c>
      <c r="E1" s="8" t="s">
        <v>43</v>
      </c>
      <c r="F1" s="8" t="s">
        <v>44</v>
      </c>
    </row>
    <row r="2" spans="1:9" ht="18" x14ac:dyDescent="0.55000000000000004">
      <c r="A2" s="5">
        <v>43101</v>
      </c>
      <c r="B2" s="1">
        <v>350</v>
      </c>
      <c r="H2" s="8" t="s">
        <v>45</v>
      </c>
      <c r="I2" s="1">
        <f>AVERAGE(E7:E37)</f>
        <v>27.554838709677419</v>
      </c>
    </row>
    <row r="3" spans="1:9" ht="18" x14ac:dyDescent="0.55000000000000004">
      <c r="A3" s="5">
        <v>43132</v>
      </c>
      <c r="B3" s="1">
        <v>348</v>
      </c>
      <c r="H3" s="8" t="s">
        <v>46</v>
      </c>
      <c r="I3" s="1">
        <f>AVERAGE(F7:F37)</f>
        <v>987.53677419354858</v>
      </c>
    </row>
    <row r="4" spans="1:9" ht="18" x14ac:dyDescent="0.55000000000000004">
      <c r="A4" s="5">
        <v>43160</v>
      </c>
      <c r="B4" s="1">
        <v>353</v>
      </c>
      <c r="H4" s="8" t="s">
        <v>47</v>
      </c>
      <c r="I4" s="1">
        <f>SQRT(I3)</f>
        <v>31.425097839044966</v>
      </c>
    </row>
    <row r="5" spans="1:9" x14ac:dyDescent="0.45">
      <c r="A5" s="5">
        <v>43191</v>
      </c>
      <c r="B5" s="1">
        <v>353</v>
      </c>
    </row>
    <row r="6" spans="1:9" x14ac:dyDescent="0.45">
      <c r="A6" s="5">
        <v>43221</v>
      </c>
      <c r="B6" s="1">
        <v>349</v>
      </c>
    </row>
    <row r="7" spans="1:9" x14ac:dyDescent="0.45">
      <c r="A7" s="5">
        <v>43252</v>
      </c>
      <c r="B7" s="1">
        <v>377</v>
      </c>
      <c r="C7" s="1">
        <f>AVERAGE(B2:B6)</f>
        <v>350.6</v>
      </c>
      <c r="D7" s="1">
        <f>B7-C7</f>
        <v>26.399999999999977</v>
      </c>
      <c r="E7" s="1">
        <f>ABS(D7)</f>
        <v>26.399999999999977</v>
      </c>
      <c r="F7" s="1">
        <f>D7^2</f>
        <v>696.95999999999879</v>
      </c>
    </row>
    <row r="8" spans="1:9" x14ac:dyDescent="0.45">
      <c r="A8" s="5">
        <v>43282</v>
      </c>
      <c r="B8" s="1">
        <v>375</v>
      </c>
      <c r="C8" s="1">
        <f>AVERAGE(B3:B7)</f>
        <v>356</v>
      </c>
      <c r="D8" s="1">
        <f t="shared" ref="D8:D37" si="0">B8-C8</f>
        <v>19</v>
      </c>
      <c r="E8" s="1">
        <f t="shared" ref="E8:E37" si="1">ABS(D8)</f>
        <v>19</v>
      </c>
      <c r="F8" s="1">
        <f t="shared" ref="F8:F37" si="2">D8^2</f>
        <v>361</v>
      </c>
    </row>
    <row r="9" spans="1:9" x14ac:dyDescent="0.45">
      <c r="A9" s="5">
        <v>43313</v>
      </c>
      <c r="B9" s="1">
        <v>403</v>
      </c>
      <c r="C9" s="1">
        <f t="shared" ref="C9:C37" si="3">AVERAGE(B4:B8)</f>
        <v>361.4</v>
      </c>
      <c r="D9" s="1">
        <f t="shared" si="0"/>
        <v>41.600000000000023</v>
      </c>
      <c r="E9" s="1">
        <f t="shared" si="1"/>
        <v>41.600000000000023</v>
      </c>
      <c r="F9" s="1">
        <f t="shared" si="2"/>
        <v>1730.560000000002</v>
      </c>
    </row>
    <row r="10" spans="1:9" x14ac:dyDescent="0.45">
      <c r="A10" s="5">
        <v>43344</v>
      </c>
      <c r="B10" s="1">
        <v>412</v>
      </c>
      <c r="C10" s="1">
        <f t="shared" si="3"/>
        <v>371.4</v>
      </c>
      <c r="D10" s="1">
        <f t="shared" si="0"/>
        <v>40.600000000000023</v>
      </c>
      <c r="E10" s="1">
        <f t="shared" si="1"/>
        <v>40.600000000000023</v>
      </c>
      <c r="F10" s="1">
        <f t="shared" si="2"/>
        <v>1648.3600000000019</v>
      </c>
    </row>
    <row r="11" spans="1:9" x14ac:dyDescent="0.45">
      <c r="A11" s="5">
        <v>43374</v>
      </c>
      <c r="B11" s="1">
        <v>409</v>
      </c>
      <c r="C11" s="1">
        <f t="shared" si="3"/>
        <v>383.2</v>
      </c>
      <c r="D11" s="1">
        <f t="shared" si="0"/>
        <v>25.800000000000011</v>
      </c>
      <c r="E11" s="1">
        <f t="shared" si="1"/>
        <v>25.800000000000011</v>
      </c>
      <c r="F11" s="1">
        <f t="shared" si="2"/>
        <v>665.64000000000055</v>
      </c>
    </row>
    <row r="12" spans="1:9" x14ac:dyDescent="0.45">
      <c r="A12" s="5">
        <v>43405</v>
      </c>
      <c r="B12" s="1">
        <v>398</v>
      </c>
      <c r="C12" s="1">
        <f t="shared" si="3"/>
        <v>395.2</v>
      </c>
      <c r="D12" s="1">
        <f t="shared" si="0"/>
        <v>2.8000000000000114</v>
      </c>
      <c r="E12" s="1">
        <f t="shared" si="1"/>
        <v>2.8000000000000114</v>
      </c>
      <c r="F12" s="1">
        <f t="shared" si="2"/>
        <v>7.8400000000000638</v>
      </c>
    </row>
    <row r="13" spans="1:9" x14ac:dyDescent="0.45">
      <c r="A13" s="5">
        <v>43435</v>
      </c>
      <c r="B13" s="1">
        <v>357</v>
      </c>
      <c r="C13" s="1">
        <f t="shared" si="3"/>
        <v>399.4</v>
      </c>
      <c r="D13" s="1">
        <f t="shared" si="0"/>
        <v>-42.399999999999977</v>
      </c>
      <c r="E13" s="1">
        <f t="shared" si="1"/>
        <v>42.399999999999977</v>
      </c>
      <c r="F13" s="1">
        <f t="shared" si="2"/>
        <v>1797.7599999999982</v>
      </c>
    </row>
    <row r="14" spans="1:9" x14ac:dyDescent="0.45">
      <c r="A14" s="5">
        <v>43466</v>
      </c>
      <c r="B14" s="1">
        <v>349</v>
      </c>
      <c r="C14" s="1">
        <f t="shared" si="3"/>
        <v>395.8</v>
      </c>
      <c r="D14" s="1">
        <f t="shared" si="0"/>
        <v>-46.800000000000011</v>
      </c>
      <c r="E14" s="1">
        <f t="shared" si="1"/>
        <v>46.800000000000011</v>
      </c>
      <c r="F14" s="1">
        <f t="shared" si="2"/>
        <v>2190.2400000000011</v>
      </c>
    </row>
    <row r="15" spans="1:9" x14ac:dyDescent="0.45">
      <c r="A15" s="5">
        <v>43497</v>
      </c>
      <c r="B15" s="1">
        <v>351</v>
      </c>
      <c r="C15" s="1">
        <f t="shared" si="3"/>
        <v>385</v>
      </c>
      <c r="D15" s="1">
        <f t="shared" si="0"/>
        <v>-34</v>
      </c>
      <c r="E15" s="1">
        <f t="shared" si="1"/>
        <v>34</v>
      </c>
      <c r="F15" s="1">
        <f t="shared" si="2"/>
        <v>1156</v>
      </c>
    </row>
    <row r="16" spans="1:9" x14ac:dyDescent="0.45">
      <c r="A16" s="5">
        <v>43525</v>
      </c>
      <c r="B16" s="1">
        <v>350</v>
      </c>
      <c r="C16" s="1">
        <f t="shared" si="3"/>
        <v>372.8</v>
      </c>
      <c r="D16" s="1">
        <f t="shared" si="0"/>
        <v>-22.800000000000011</v>
      </c>
      <c r="E16" s="1">
        <f t="shared" si="1"/>
        <v>22.800000000000011</v>
      </c>
      <c r="F16" s="1">
        <f t="shared" si="2"/>
        <v>519.84000000000049</v>
      </c>
    </row>
    <row r="17" spans="1:6" x14ac:dyDescent="0.45">
      <c r="A17" s="5">
        <v>43556</v>
      </c>
      <c r="B17" s="1">
        <v>355</v>
      </c>
      <c r="C17" s="1">
        <f t="shared" si="3"/>
        <v>361</v>
      </c>
      <c r="D17" s="1">
        <f t="shared" si="0"/>
        <v>-6</v>
      </c>
      <c r="E17" s="1">
        <f t="shared" si="1"/>
        <v>6</v>
      </c>
      <c r="F17" s="1">
        <f t="shared" si="2"/>
        <v>36</v>
      </c>
    </row>
    <row r="18" spans="1:6" x14ac:dyDescent="0.45">
      <c r="A18" s="5">
        <v>43586</v>
      </c>
      <c r="B18" s="1">
        <v>346</v>
      </c>
      <c r="C18" s="1">
        <f t="shared" si="3"/>
        <v>352.4</v>
      </c>
      <c r="D18" s="1">
        <f t="shared" si="0"/>
        <v>-6.3999999999999773</v>
      </c>
      <c r="E18" s="1">
        <f t="shared" si="1"/>
        <v>6.3999999999999773</v>
      </c>
      <c r="F18" s="1">
        <f t="shared" si="2"/>
        <v>40.95999999999971</v>
      </c>
    </row>
    <row r="19" spans="1:6" x14ac:dyDescent="0.45">
      <c r="A19" s="5">
        <v>43617</v>
      </c>
      <c r="B19" s="1">
        <v>377</v>
      </c>
      <c r="C19" s="1">
        <f t="shared" si="3"/>
        <v>350.2</v>
      </c>
      <c r="D19" s="1">
        <f t="shared" si="0"/>
        <v>26.800000000000011</v>
      </c>
      <c r="E19" s="1">
        <f t="shared" si="1"/>
        <v>26.800000000000011</v>
      </c>
      <c r="F19" s="1">
        <f t="shared" si="2"/>
        <v>718.24000000000058</v>
      </c>
    </row>
    <row r="20" spans="1:6" x14ac:dyDescent="0.45">
      <c r="A20" s="5">
        <v>43647</v>
      </c>
      <c r="B20" s="1">
        <v>372</v>
      </c>
      <c r="C20" s="1">
        <f t="shared" si="3"/>
        <v>355.8</v>
      </c>
      <c r="D20" s="1">
        <f t="shared" si="0"/>
        <v>16.199999999999989</v>
      </c>
      <c r="E20" s="1">
        <f t="shared" si="1"/>
        <v>16.199999999999989</v>
      </c>
      <c r="F20" s="1">
        <f t="shared" si="2"/>
        <v>262.43999999999966</v>
      </c>
    </row>
    <row r="21" spans="1:6" x14ac:dyDescent="0.45">
      <c r="A21" s="5">
        <v>43678</v>
      </c>
      <c r="B21" s="1">
        <v>405</v>
      </c>
      <c r="C21" s="1">
        <f t="shared" si="3"/>
        <v>360</v>
      </c>
      <c r="D21" s="1">
        <f t="shared" si="0"/>
        <v>45</v>
      </c>
      <c r="E21" s="1">
        <f t="shared" si="1"/>
        <v>45</v>
      </c>
      <c r="F21" s="1">
        <f t="shared" si="2"/>
        <v>2025</v>
      </c>
    </row>
    <row r="22" spans="1:6" x14ac:dyDescent="0.45">
      <c r="A22" s="5">
        <v>43709</v>
      </c>
      <c r="B22" s="1">
        <v>416</v>
      </c>
      <c r="C22" s="1">
        <f t="shared" si="3"/>
        <v>371</v>
      </c>
      <c r="D22" s="1">
        <f t="shared" si="0"/>
        <v>45</v>
      </c>
      <c r="E22" s="1">
        <f t="shared" si="1"/>
        <v>45</v>
      </c>
      <c r="F22" s="1">
        <f t="shared" si="2"/>
        <v>2025</v>
      </c>
    </row>
    <row r="23" spans="1:6" x14ac:dyDescent="0.45">
      <c r="A23" s="5">
        <v>43739</v>
      </c>
      <c r="B23" s="1">
        <v>407</v>
      </c>
      <c r="C23" s="1">
        <f t="shared" si="3"/>
        <v>383.2</v>
      </c>
      <c r="D23" s="1">
        <f t="shared" si="0"/>
        <v>23.800000000000011</v>
      </c>
      <c r="E23" s="1">
        <f t="shared" si="1"/>
        <v>23.800000000000011</v>
      </c>
      <c r="F23" s="1">
        <f t="shared" si="2"/>
        <v>566.44000000000051</v>
      </c>
    </row>
    <row r="24" spans="1:6" x14ac:dyDescent="0.45">
      <c r="A24" s="5">
        <v>43770</v>
      </c>
      <c r="B24" s="1">
        <v>399</v>
      </c>
      <c r="C24" s="1">
        <f t="shared" si="3"/>
        <v>395.4</v>
      </c>
      <c r="D24" s="1">
        <f t="shared" si="0"/>
        <v>3.6000000000000227</v>
      </c>
      <c r="E24" s="1">
        <f t="shared" si="1"/>
        <v>3.6000000000000227</v>
      </c>
      <c r="F24" s="1">
        <f t="shared" si="2"/>
        <v>12.960000000000164</v>
      </c>
    </row>
    <row r="25" spans="1:6" x14ac:dyDescent="0.45">
      <c r="A25" s="5">
        <v>43800</v>
      </c>
      <c r="B25" s="1">
        <v>355</v>
      </c>
      <c r="C25" s="1">
        <f t="shared" si="3"/>
        <v>399.8</v>
      </c>
      <c r="D25" s="1">
        <f t="shared" si="0"/>
        <v>-44.800000000000011</v>
      </c>
      <c r="E25" s="1">
        <f t="shared" si="1"/>
        <v>44.800000000000011</v>
      </c>
      <c r="F25" s="1">
        <f t="shared" si="2"/>
        <v>2007.0400000000011</v>
      </c>
    </row>
    <row r="26" spans="1:6" x14ac:dyDescent="0.45">
      <c r="A26" s="5">
        <v>43831</v>
      </c>
      <c r="B26" s="1">
        <v>347</v>
      </c>
      <c r="C26" s="1">
        <f t="shared" si="3"/>
        <v>396.4</v>
      </c>
      <c r="D26" s="1">
        <f t="shared" si="0"/>
        <v>-49.399999999999977</v>
      </c>
      <c r="E26" s="1">
        <f t="shared" si="1"/>
        <v>49.399999999999977</v>
      </c>
      <c r="F26" s="1">
        <f t="shared" si="2"/>
        <v>2440.3599999999979</v>
      </c>
    </row>
    <row r="27" spans="1:6" x14ac:dyDescent="0.45">
      <c r="A27" s="5">
        <v>43862</v>
      </c>
      <c r="B27" s="1">
        <v>351</v>
      </c>
      <c r="C27" s="1">
        <f t="shared" si="3"/>
        <v>384.8</v>
      </c>
      <c r="D27" s="1">
        <f t="shared" si="0"/>
        <v>-33.800000000000011</v>
      </c>
      <c r="E27" s="1">
        <f t="shared" si="1"/>
        <v>33.800000000000011</v>
      </c>
      <c r="F27" s="1">
        <f t="shared" si="2"/>
        <v>1142.4400000000007</v>
      </c>
    </row>
    <row r="28" spans="1:6" x14ac:dyDescent="0.45">
      <c r="A28" s="5">
        <v>43891</v>
      </c>
      <c r="B28" s="1">
        <v>350</v>
      </c>
      <c r="C28" s="1">
        <f t="shared" si="3"/>
        <v>371.8</v>
      </c>
      <c r="D28" s="1">
        <f t="shared" si="0"/>
        <v>-21.800000000000011</v>
      </c>
      <c r="E28" s="1">
        <f t="shared" si="1"/>
        <v>21.800000000000011</v>
      </c>
      <c r="F28" s="1">
        <f t="shared" si="2"/>
        <v>475.24000000000052</v>
      </c>
    </row>
    <row r="29" spans="1:6" x14ac:dyDescent="0.45">
      <c r="A29" s="5">
        <v>43922</v>
      </c>
      <c r="B29" s="1">
        <v>352</v>
      </c>
      <c r="C29" s="1">
        <f t="shared" si="3"/>
        <v>360.4</v>
      </c>
      <c r="D29" s="1">
        <f t="shared" si="0"/>
        <v>-8.3999999999999773</v>
      </c>
      <c r="E29" s="1">
        <f t="shared" si="1"/>
        <v>8.3999999999999773</v>
      </c>
      <c r="F29" s="1">
        <f t="shared" si="2"/>
        <v>70.559999999999619</v>
      </c>
    </row>
    <row r="30" spans="1:6" x14ac:dyDescent="0.45">
      <c r="A30" s="5">
        <v>43952</v>
      </c>
      <c r="B30" s="1">
        <v>343</v>
      </c>
      <c r="C30" s="1">
        <f t="shared" si="3"/>
        <v>351</v>
      </c>
      <c r="D30" s="1">
        <f t="shared" si="0"/>
        <v>-8</v>
      </c>
      <c r="E30" s="1">
        <f t="shared" si="1"/>
        <v>8</v>
      </c>
      <c r="F30" s="1">
        <f t="shared" si="2"/>
        <v>64</v>
      </c>
    </row>
    <row r="31" spans="1:6" x14ac:dyDescent="0.45">
      <c r="A31" s="5">
        <v>43983</v>
      </c>
      <c r="B31" s="1">
        <v>374</v>
      </c>
      <c r="C31" s="1">
        <f t="shared" si="3"/>
        <v>348.6</v>
      </c>
      <c r="D31" s="1">
        <f t="shared" si="0"/>
        <v>25.399999999999977</v>
      </c>
      <c r="E31" s="1">
        <f t="shared" si="1"/>
        <v>25.399999999999977</v>
      </c>
      <c r="F31" s="1">
        <f t="shared" si="2"/>
        <v>645.15999999999883</v>
      </c>
    </row>
    <row r="32" spans="1:6" x14ac:dyDescent="0.45">
      <c r="A32" s="5">
        <v>44013</v>
      </c>
      <c r="B32" s="1">
        <v>375</v>
      </c>
      <c r="C32" s="1">
        <f t="shared" si="3"/>
        <v>354</v>
      </c>
      <c r="D32" s="1">
        <f t="shared" si="0"/>
        <v>21</v>
      </c>
      <c r="E32" s="1">
        <f t="shared" si="1"/>
        <v>21</v>
      </c>
      <c r="F32" s="1">
        <f t="shared" si="2"/>
        <v>441</v>
      </c>
    </row>
    <row r="33" spans="1:6" x14ac:dyDescent="0.45">
      <c r="A33" s="5">
        <v>44044</v>
      </c>
      <c r="B33" s="1">
        <v>408</v>
      </c>
      <c r="C33" s="1">
        <f t="shared" si="3"/>
        <v>358.8</v>
      </c>
      <c r="D33" s="1">
        <f t="shared" si="0"/>
        <v>49.199999999999989</v>
      </c>
      <c r="E33" s="1">
        <f t="shared" si="1"/>
        <v>49.199999999999989</v>
      </c>
      <c r="F33" s="1">
        <f t="shared" si="2"/>
        <v>2420.639999999999</v>
      </c>
    </row>
    <row r="34" spans="1:6" x14ac:dyDescent="0.45">
      <c r="A34" s="5">
        <v>44075</v>
      </c>
      <c r="B34" s="1">
        <v>412</v>
      </c>
      <c r="C34" s="1">
        <f t="shared" si="3"/>
        <v>370.4</v>
      </c>
      <c r="D34" s="1">
        <f t="shared" si="0"/>
        <v>41.600000000000023</v>
      </c>
      <c r="E34" s="1">
        <f t="shared" si="1"/>
        <v>41.600000000000023</v>
      </c>
      <c r="F34" s="1">
        <f t="shared" si="2"/>
        <v>1730.560000000002</v>
      </c>
    </row>
    <row r="35" spans="1:6" x14ac:dyDescent="0.45">
      <c r="A35" s="5">
        <v>44105</v>
      </c>
      <c r="B35" s="1">
        <v>410</v>
      </c>
      <c r="C35" s="1">
        <f t="shared" si="3"/>
        <v>382.4</v>
      </c>
      <c r="D35" s="1">
        <f t="shared" si="0"/>
        <v>27.600000000000023</v>
      </c>
      <c r="E35" s="1">
        <f t="shared" si="1"/>
        <v>27.600000000000023</v>
      </c>
      <c r="F35" s="1">
        <f t="shared" si="2"/>
        <v>761.76000000000124</v>
      </c>
    </row>
    <row r="36" spans="1:6" x14ac:dyDescent="0.45">
      <c r="A36" s="5">
        <v>44136</v>
      </c>
      <c r="B36" s="1">
        <v>400</v>
      </c>
      <c r="C36" s="1">
        <f t="shared" si="3"/>
        <v>395.8</v>
      </c>
      <c r="D36" s="1">
        <f t="shared" si="0"/>
        <v>4.1999999999999886</v>
      </c>
      <c r="E36" s="1">
        <f t="shared" si="1"/>
        <v>4.1999999999999886</v>
      </c>
      <c r="F36" s="1">
        <f t="shared" si="2"/>
        <v>17.639999999999905</v>
      </c>
    </row>
    <row r="37" spans="1:6" x14ac:dyDescent="0.45">
      <c r="A37" s="5">
        <v>44166</v>
      </c>
      <c r="B37" s="1">
        <v>357</v>
      </c>
      <c r="C37" s="1">
        <f t="shared" si="3"/>
        <v>401</v>
      </c>
      <c r="D37" s="1">
        <f t="shared" si="0"/>
        <v>-44</v>
      </c>
      <c r="E37" s="1">
        <f t="shared" si="1"/>
        <v>44</v>
      </c>
      <c r="F37" s="1">
        <f t="shared" si="2"/>
        <v>1936</v>
      </c>
    </row>
    <row r="38" spans="1:6" x14ac:dyDescent="0.45">
      <c r="A38" s="5">
        <v>44197</v>
      </c>
      <c r="C38" s="9">
        <f>AVERAGE(B33:B37)</f>
        <v>397.4</v>
      </c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C952B-501F-4A80-9C2C-D92D010AC5C2}">
  <dimension ref="A1:I38"/>
  <sheetViews>
    <sheetView tabSelected="1" zoomScaleNormal="100" workbookViewId="0">
      <pane ySplit="1" topLeftCell="A2" activePane="bottomLeft" state="frozen"/>
      <selection pane="bottomLeft" activeCell="I24" sqref="I24"/>
    </sheetView>
  </sheetViews>
  <sheetFormatPr defaultRowHeight="14.25" x14ac:dyDescent="0.45"/>
  <cols>
    <col min="1" max="1" width="10.19921875" style="2" customWidth="1"/>
    <col min="2" max="2" width="16.73046875" style="1" bestFit="1" customWidth="1"/>
    <col min="3" max="3" width="14" style="1" bestFit="1" customWidth="1"/>
    <col min="4" max="4" width="11.9296875" style="1" bestFit="1" customWidth="1"/>
    <col min="5" max="5" width="17.265625" style="1" bestFit="1" customWidth="1"/>
    <col min="6" max="6" width="17.06640625" style="1" customWidth="1"/>
    <col min="7" max="254" width="8.73046875" style="1"/>
    <col min="255" max="256" width="10.19921875" style="1" customWidth="1"/>
    <col min="257" max="257" width="12" style="1" customWidth="1"/>
    <col min="258" max="510" width="8.73046875" style="1"/>
    <col min="511" max="512" width="10.19921875" style="1" customWidth="1"/>
    <col min="513" max="513" width="12" style="1" customWidth="1"/>
    <col min="514" max="766" width="8.73046875" style="1"/>
    <col min="767" max="768" width="10.19921875" style="1" customWidth="1"/>
    <col min="769" max="769" width="12" style="1" customWidth="1"/>
    <col min="770" max="1022" width="8.73046875" style="1"/>
    <col min="1023" max="1024" width="10.19921875" style="1" customWidth="1"/>
    <col min="1025" max="1025" width="12" style="1" customWidth="1"/>
    <col min="1026" max="1278" width="8.73046875" style="1"/>
    <col min="1279" max="1280" width="10.19921875" style="1" customWidth="1"/>
    <col min="1281" max="1281" width="12" style="1" customWidth="1"/>
    <col min="1282" max="1534" width="8.73046875" style="1"/>
    <col min="1535" max="1536" width="10.19921875" style="1" customWidth="1"/>
    <col min="1537" max="1537" width="12" style="1" customWidth="1"/>
    <col min="1538" max="1790" width="8.73046875" style="1"/>
    <col min="1791" max="1792" width="10.19921875" style="1" customWidth="1"/>
    <col min="1793" max="1793" width="12" style="1" customWidth="1"/>
    <col min="1794" max="2046" width="8.73046875" style="1"/>
    <col min="2047" max="2048" width="10.19921875" style="1" customWidth="1"/>
    <col min="2049" max="2049" width="12" style="1" customWidth="1"/>
    <col min="2050" max="2302" width="8.73046875" style="1"/>
    <col min="2303" max="2304" width="10.19921875" style="1" customWidth="1"/>
    <col min="2305" max="2305" width="12" style="1" customWidth="1"/>
    <col min="2306" max="2558" width="8.73046875" style="1"/>
    <col min="2559" max="2560" width="10.19921875" style="1" customWidth="1"/>
    <col min="2561" max="2561" width="12" style="1" customWidth="1"/>
    <col min="2562" max="2814" width="8.73046875" style="1"/>
    <col min="2815" max="2816" width="10.19921875" style="1" customWidth="1"/>
    <col min="2817" max="2817" width="12" style="1" customWidth="1"/>
    <col min="2818" max="3070" width="8.73046875" style="1"/>
    <col min="3071" max="3072" width="10.19921875" style="1" customWidth="1"/>
    <col min="3073" max="3073" width="12" style="1" customWidth="1"/>
    <col min="3074" max="3326" width="8.73046875" style="1"/>
    <col min="3327" max="3328" width="10.19921875" style="1" customWidth="1"/>
    <col min="3329" max="3329" width="12" style="1" customWidth="1"/>
    <col min="3330" max="3582" width="8.73046875" style="1"/>
    <col min="3583" max="3584" width="10.19921875" style="1" customWidth="1"/>
    <col min="3585" max="3585" width="12" style="1" customWidth="1"/>
    <col min="3586" max="3838" width="8.73046875" style="1"/>
    <col min="3839" max="3840" width="10.19921875" style="1" customWidth="1"/>
    <col min="3841" max="3841" width="12" style="1" customWidth="1"/>
    <col min="3842" max="4094" width="8.73046875" style="1"/>
    <col min="4095" max="4096" width="10.19921875" style="1" customWidth="1"/>
    <col min="4097" max="4097" width="12" style="1" customWidth="1"/>
    <col min="4098" max="4350" width="8.73046875" style="1"/>
    <col min="4351" max="4352" width="10.19921875" style="1" customWidth="1"/>
    <col min="4353" max="4353" width="12" style="1" customWidth="1"/>
    <col min="4354" max="4606" width="8.73046875" style="1"/>
    <col min="4607" max="4608" width="10.19921875" style="1" customWidth="1"/>
    <col min="4609" max="4609" width="12" style="1" customWidth="1"/>
    <col min="4610" max="4862" width="8.73046875" style="1"/>
    <col min="4863" max="4864" width="10.19921875" style="1" customWidth="1"/>
    <col min="4865" max="4865" width="12" style="1" customWidth="1"/>
    <col min="4866" max="5118" width="8.73046875" style="1"/>
    <col min="5119" max="5120" width="10.19921875" style="1" customWidth="1"/>
    <col min="5121" max="5121" width="12" style="1" customWidth="1"/>
    <col min="5122" max="5374" width="8.73046875" style="1"/>
    <col min="5375" max="5376" width="10.19921875" style="1" customWidth="1"/>
    <col min="5377" max="5377" width="12" style="1" customWidth="1"/>
    <col min="5378" max="5630" width="8.73046875" style="1"/>
    <col min="5631" max="5632" width="10.19921875" style="1" customWidth="1"/>
    <col min="5633" max="5633" width="12" style="1" customWidth="1"/>
    <col min="5634" max="5886" width="8.73046875" style="1"/>
    <col min="5887" max="5888" width="10.19921875" style="1" customWidth="1"/>
    <col min="5889" max="5889" width="12" style="1" customWidth="1"/>
    <col min="5890" max="6142" width="8.73046875" style="1"/>
    <col min="6143" max="6144" width="10.19921875" style="1" customWidth="1"/>
    <col min="6145" max="6145" width="12" style="1" customWidth="1"/>
    <col min="6146" max="6398" width="8.73046875" style="1"/>
    <col min="6399" max="6400" width="10.19921875" style="1" customWidth="1"/>
    <col min="6401" max="6401" width="12" style="1" customWidth="1"/>
    <col min="6402" max="6654" width="8.73046875" style="1"/>
    <col min="6655" max="6656" width="10.19921875" style="1" customWidth="1"/>
    <col min="6657" max="6657" width="12" style="1" customWidth="1"/>
    <col min="6658" max="6910" width="8.73046875" style="1"/>
    <col min="6911" max="6912" width="10.19921875" style="1" customWidth="1"/>
    <col min="6913" max="6913" width="12" style="1" customWidth="1"/>
    <col min="6914" max="7166" width="8.73046875" style="1"/>
    <col min="7167" max="7168" width="10.19921875" style="1" customWidth="1"/>
    <col min="7169" max="7169" width="12" style="1" customWidth="1"/>
    <col min="7170" max="7422" width="8.73046875" style="1"/>
    <col min="7423" max="7424" width="10.19921875" style="1" customWidth="1"/>
    <col min="7425" max="7425" width="12" style="1" customWidth="1"/>
    <col min="7426" max="7678" width="8.73046875" style="1"/>
    <col min="7679" max="7680" width="10.19921875" style="1" customWidth="1"/>
    <col min="7681" max="7681" width="12" style="1" customWidth="1"/>
    <col min="7682" max="7934" width="8.73046875" style="1"/>
    <col min="7935" max="7936" width="10.19921875" style="1" customWidth="1"/>
    <col min="7937" max="7937" width="12" style="1" customWidth="1"/>
    <col min="7938" max="8190" width="8.73046875" style="1"/>
    <col min="8191" max="8192" width="10.19921875" style="1" customWidth="1"/>
    <col min="8193" max="8193" width="12" style="1" customWidth="1"/>
    <col min="8194" max="8446" width="8.73046875" style="1"/>
    <col min="8447" max="8448" width="10.19921875" style="1" customWidth="1"/>
    <col min="8449" max="8449" width="12" style="1" customWidth="1"/>
    <col min="8450" max="8702" width="8.73046875" style="1"/>
    <col min="8703" max="8704" width="10.19921875" style="1" customWidth="1"/>
    <col min="8705" max="8705" width="12" style="1" customWidth="1"/>
    <col min="8706" max="8958" width="8.73046875" style="1"/>
    <col min="8959" max="8960" width="10.19921875" style="1" customWidth="1"/>
    <col min="8961" max="8961" width="12" style="1" customWidth="1"/>
    <col min="8962" max="9214" width="8.73046875" style="1"/>
    <col min="9215" max="9216" width="10.19921875" style="1" customWidth="1"/>
    <col min="9217" max="9217" width="12" style="1" customWidth="1"/>
    <col min="9218" max="9470" width="8.73046875" style="1"/>
    <col min="9471" max="9472" width="10.19921875" style="1" customWidth="1"/>
    <col min="9473" max="9473" width="12" style="1" customWidth="1"/>
    <col min="9474" max="9726" width="8.73046875" style="1"/>
    <col min="9727" max="9728" width="10.19921875" style="1" customWidth="1"/>
    <col min="9729" max="9729" width="12" style="1" customWidth="1"/>
    <col min="9730" max="9982" width="8.73046875" style="1"/>
    <col min="9983" max="9984" width="10.19921875" style="1" customWidth="1"/>
    <col min="9985" max="9985" width="12" style="1" customWidth="1"/>
    <col min="9986" max="10238" width="8.73046875" style="1"/>
    <col min="10239" max="10240" width="10.19921875" style="1" customWidth="1"/>
    <col min="10241" max="10241" width="12" style="1" customWidth="1"/>
    <col min="10242" max="10494" width="8.73046875" style="1"/>
    <col min="10495" max="10496" width="10.19921875" style="1" customWidth="1"/>
    <col min="10497" max="10497" width="12" style="1" customWidth="1"/>
    <col min="10498" max="10750" width="8.73046875" style="1"/>
    <col min="10751" max="10752" width="10.19921875" style="1" customWidth="1"/>
    <col min="10753" max="10753" width="12" style="1" customWidth="1"/>
    <col min="10754" max="11006" width="8.73046875" style="1"/>
    <col min="11007" max="11008" width="10.19921875" style="1" customWidth="1"/>
    <col min="11009" max="11009" width="12" style="1" customWidth="1"/>
    <col min="11010" max="11262" width="8.73046875" style="1"/>
    <col min="11263" max="11264" width="10.19921875" style="1" customWidth="1"/>
    <col min="11265" max="11265" width="12" style="1" customWidth="1"/>
    <col min="11266" max="11518" width="8.73046875" style="1"/>
    <col min="11519" max="11520" width="10.19921875" style="1" customWidth="1"/>
    <col min="11521" max="11521" width="12" style="1" customWidth="1"/>
    <col min="11522" max="11774" width="8.73046875" style="1"/>
    <col min="11775" max="11776" width="10.19921875" style="1" customWidth="1"/>
    <col min="11777" max="11777" width="12" style="1" customWidth="1"/>
    <col min="11778" max="12030" width="8.73046875" style="1"/>
    <col min="12031" max="12032" width="10.19921875" style="1" customWidth="1"/>
    <col min="12033" max="12033" width="12" style="1" customWidth="1"/>
    <col min="12034" max="12286" width="8.73046875" style="1"/>
    <col min="12287" max="12288" width="10.19921875" style="1" customWidth="1"/>
    <col min="12289" max="12289" width="12" style="1" customWidth="1"/>
    <col min="12290" max="12542" width="8.73046875" style="1"/>
    <col min="12543" max="12544" width="10.19921875" style="1" customWidth="1"/>
    <col min="12545" max="12545" width="12" style="1" customWidth="1"/>
    <col min="12546" max="12798" width="8.73046875" style="1"/>
    <col min="12799" max="12800" width="10.19921875" style="1" customWidth="1"/>
    <col min="12801" max="12801" width="12" style="1" customWidth="1"/>
    <col min="12802" max="13054" width="8.73046875" style="1"/>
    <col min="13055" max="13056" width="10.19921875" style="1" customWidth="1"/>
    <col min="13057" max="13057" width="12" style="1" customWidth="1"/>
    <col min="13058" max="13310" width="8.73046875" style="1"/>
    <col min="13311" max="13312" width="10.19921875" style="1" customWidth="1"/>
    <col min="13313" max="13313" width="12" style="1" customWidth="1"/>
    <col min="13314" max="13566" width="8.73046875" style="1"/>
    <col min="13567" max="13568" width="10.19921875" style="1" customWidth="1"/>
    <col min="13569" max="13569" width="12" style="1" customWidth="1"/>
    <col min="13570" max="13822" width="8.73046875" style="1"/>
    <col min="13823" max="13824" width="10.19921875" style="1" customWidth="1"/>
    <col min="13825" max="13825" width="12" style="1" customWidth="1"/>
    <col min="13826" max="14078" width="8.73046875" style="1"/>
    <col min="14079" max="14080" width="10.19921875" style="1" customWidth="1"/>
    <col min="14081" max="14081" width="12" style="1" customWidth="1"/>
    <col min="14082" max="14334" width="8.73046875" style="1"/>
    <col min="14335" max="14336" width="10.19921875" style="1" customWidth="1"/>
    <col min="14337" max="14337" width="12" style="1" customWidth="1"/>
    <col min="14338" max="14590" width="8.73046875" style="1"/>
    <col min="14591" max="14592" width="10.19921875" style="1" customWidth="1"/>
    <col min="14593" max="14593" width="12" style="1" customWidth="1"/>
    <col min="14594" max="14846" width="8.73046875" style="1"/>
    <col min="14847" max="14848" width="10.19921875" style="1" customWidth="1"/>
    <col min="14849" max="14849" width="12" style="1" customWidth="1"/>
    <col min="14850" max="15102" width="8.73046875" style="1"/>
    <col min="15103" max="15104" width="10.19921875" style="1" customWidth="1"/>
    <col min="15105" max="15105" width="12" style="1" customWidth="1"/>
    <col min="15106" max="15358" width="8.73046875" style="1"/>
    <col min="15359" max="15360" width="10.19921875" style="1" customWidth="1"/>
    <col min="15361" max="15361" width="12" style="1" customWidth="1"/>
    <col min="15362" max="15614" width="8.73046875" style="1"/>
    <col min="15615" max="15616" width="10.19921875" style="1" customWidth="1"/>
    <col min="15617" max="15617" width="12" style="1" customWidth="1"/>
    <col min="15618" max="15870" width="8.73046875" style="1"/>
    <col min="15871" max="15872" width="10.19921875" style="1" customWidth="1"/>
    <col min="15873" max="15873" width="12" style="1" customWidth="1"/>
    <col min="15874" max="16126" width="8.73046875" style="1"/>
    <col min="16127" max="16128" width="10.19921875" style="1" customWidth="1"/>
    <col min="16129" max="16129" width="12" style="1" customWidth="1"/>
    <col min="16130" max="16382" width="8.73046875" style="1"/>
    <col min="16383" max="16384" width="9.19921875" style="1" customWidth="1"/>
  </cols>
  <sheetData>
    <row r="1" spans="1:9" s="8" customFormat="1" ht="18" x14ac:dyDescent="0.55000000000000004">
      <c r="A1" s="6" t="s">
        <v>0</v>
      </c>
      <c r="B1" s="7" t="s">
        <v>41</v>
      </c>
      <c r="C1" s="8" t="s">
        <v>42</v>
      </c>
      <c r="D1" s="8" t="s">
        <v>48</v>
      </c>
      <c r="E1" s="8" t="s">
        <v>43</v>
      </c>
      <c r="F1" s="8" t="s">
        <v>44</v>
      </c>
    </row>
    <row r="2" spans="1:9" ht="18" x14ac:dyDescent="0.55000000000000004">
      <c r="A2" s="5">
        <v>43101</v>
      </c>
      <c r="B2" s="1">
        <v>350</v>
      </c>
      <c r="H2" s="8" t="s">
        <v>45</v>
      </c>
      <c r="I2" s="1">
        <f>AVERAGE(E5:E37)</f>
        <v>20.808080808080803</v>
      </c>
    </row>
    <row r="3" spans="1:9" ht="18" x14ac:dyDescent="0.55000000000000004">
      <c r="A3" s="5">
        <v>43132</v>
      </c>
      <c r="B3" s="1">
        <v>348</v>
      </c>
      <c r="H3" s="8" t="s">
        <v>46</v>
      </c>
      <c r="I3" s="1">
        <f>AVERAGE(F5:F37)</f>
        <v>672.6397306397306</v>
      </c>
    </row>
    <row r="4" spans="1:9" ht="18" x14ac:dyDescent="0.55000000000000004">
      <c r="A4" s="5">
        <v>43160</v>
      </c>
      <c r="B4" s="1">
        <v>353</v>
      </c>
      <c r="H4" s="8" t="s">
        <v>47</v>
      </c>
      <c r="I4" s="1">
        <f>SQRT(I3)</f>
        <v>25.935298930988449</v>
      </c>
    </row>
    <row r="5" spans="1:9" x14ac:dyDescent="0.45">
      <c r="A5" s="5">
        <v>43191</v>
      </c>
      <c r="B5" s="1">
        <v>353</v>
      </c>
      <c r="C5" s="1">
        <f>AVERAGE(B2:B4)</f>
        <v>350.33333333333331</v>
      </c>
      <c r="D5" s="1">
        <f>B5-C5</f>
        <v>2.6666666666666856</v>
      </c>
      <c r="E5" s="1">
        <f>ABS(D5)</f>
        <v>2.6666666666666856</v>
      </c>
      <c r="F5" s="1">
        <f>D5^2</f>
        <v>7.111111111111212</v>
      </c>
    </row>
    <row r="6" spans="1:9" x14ac:dyDescent="0.45">
      <c r="A6" s="5">
        <v>43221</v>
      </c>
      <c r="B6" s="1">
        <v>349</v>
      </c>
      <c r="C6" s="1">
        <f t="shared" ref="C6:C38" si="0">AVERAGE(B3:B5)</f>
        <v>351.33333333333331</v>
      </c>
      <c r="D6" s="1">
        <f t="shared" ref="D6:D37" si="1">B6-C6</f>
        <v>-2.3333333333333144</v>
      </c>
      <c r="E6" s="1">
        <f t="shared" ref="E6:E37" si="2">ABS(D6)</f>
        <v>2.3333333333333144</v>
      </c>
      <c r="F6" s="1">
        <f t="shared" ref="F6:F37" si="3">D6^2</f>
        <v>5.4444444444443558</v>
      </c>
    </row>
    <row r="7" spans="1:9" x14ac:dyDescent="0.45">
      <c r="A7" s="5">
        <v>43252</v>
      </c>
      <c r="B7" s="1">
        <v>377</v>
      </c>
      <c r="C7" s="1">
        <f t="shared" si="0"/>
        <v>351.66666666666669</v>
      </c>
      <c r="D7" s="1">
        <f t="shared" si="1"/>
        <v>25.333333333333314</v>
      </c>
      <c r="E7" s="1">
        <f t="shared" si="2"/>
        <v>25.333333333333314</v>
      </c>
      <c r="F7" s="1">
        <f t="shared" si="3"/>
        <v>641.77777777777681</v>
      </c>
    </row>
    <row r="8" spans="1:9" x14ac:dyDescent="0.45">
      <c r="A8" s="5">
        <v>43282</v>
      </c>
      <c r="B8" s="1">
        <v>375</v>
      </c>
      <c r="C8" s="1">
        <f t="shared" si="0"/>
        <v>359.66666666666669</v>
      </c>
      <c r="D8" s="1">
        <f t="shared" si="1"/>
        <v>15.333333333333314</v>
      </c>
      <c r="E8" s="1">
        <f t="shared" si="2"/>
        <v>15.333333333333314</v>
      </c>
      <c r="F8" s="1">
        <f t="shared" si="3"/>
        <v>235.11111111111052</v>
      </c>
    </row>
    <row r="9" spans="1:9" x14ac:dyDescent="0.45">
      <c r="A9" s="5">
        <v>43313</v>
      </c>
      <c r="B9" s="1">
        <v>403</v>
      </c>
      <c r="C9" s="1">
        <f t="shared" si="0"/>
        <v>367</v>
      </c>
      <c r="D9" s="1">
        <f t="shared" si="1"/>
        <v>36</v>
      </c>
      <c r="E9" s="1">
        <f t="shared" si="2"/>
        <v>36</v>
      </c>
      <c r="F9" s="1">
        <f t="shared" si="3"/>
        <v>1296</v>
      </c>
    </row>
    <row r="10" spans="1:9" x14ac:dyDescent="0.45">
      <c r="A10" s="5">
        <v>43344</v>
      </c>
      <c r="B10" s="1">
        <v>412</v>
      </c>
      <c r="C10" s="1">
        <f t="shared" si="0"/>
        <v>385</v>
      </c>
      <c r="D10" s="1">
        <f t="shared" si="1"/>
        <v>27</v>
      </c>
      <c r="E10" s="1">
        <f t="shared" si="2"/>
        <v>27</v>
      </c>
      <c r="F10" s="1">
        <f t="shared" si="3"/>
        <v>729</v>
      </c>
    </row>
    <row r="11" spans="1:9" x14ac:dyDescent="0.45">
      <c r="A11" s="5">
        <v>43374</v>
      </c>
      <c r="B11" s="1">
        <v>409</v>
      </c>
      <c r="C11" s="1">
        <f t="shared" si="0"/>
        <v>396.66666666666669</v>
      </c>
      <c r="D11" s="1">
        <f t="shared" si="1"/>
        <v>12.333333333333314</v>
      </c>
      <c r="E11" s="1">
        <f t="shared" si="2"/>
        <v>12.333333333333314</v>
      </c>
      <c r="F11" s="1">
        <f t="shared" si="3"/>
        <v>152.11111111111063</v>
      </c>
    </row>
    <row r="12" spans="1:9" x14ac:dyDescent="0.45">
      <c r="A12" s="5">
        <v>43405</v>
      </c>
      <c r="B12" s="1">
        <v>398</v>
      </c>
      <c r="C12" s="1">
        <f t="shared" si="0"/>
        <v>408</v>
      </c>
      <c r="D12" s="1">
        <f t="shared" si="1"/>
        <v>-10</v>
      </c>
      <c r="E12" s="1">
        <f t="shared" si="2"/>
        <v>10</v>
      </c>
      <c r="F12" s="1">
        <f t="shared" si="3"/>
        <v>100</v>
      </c>
    </row>
    <row r="13" spans="1:9" x14ac:dyDescent="0.45">
      <c r="A13" s="5">
        <v>43435</v>
      </c>
      <c r="B13" s="1">
        <v>357</v>
      </c>
      <c r="C13" s="1">
        <f t="shared" si="0"/>
        <v>406.33333333333331</v>
      </c>
      <c r="D13" s="1">
        <f t="shared" si="1"/>
        <v>-49.333333333333314</v>
      </c>
      <c r="E13" s="1">
        <f t="shared" si="2"/>
        <v>49.333333333333314</v>
      </c>
      <c r="F13" s="1">
        <f t="shared" si="3"/>
        <v>2433.777777777776</v>
      </c>
    </row>
    <row r="14" spans="1:9" x14ac:dyDescent="0.45">
      <c r="A14" s="5">
        <v>43466</v>
      </c>
      <c r="B14" s="1">
        <v>349</v>
      </c>
      <c r="C14" s="1">
        <f t="shared" si="0"/>
        <v>388</v>
      </c>
      <c r="D14" s="1">
        <f t="shared" si="1"/>
        <v>-39</v>
      </c>
      <c r="E14" s="1">
        <f t="shared" si="2"/>
        <v>39</v>
      </c>
      <c r="F14" s="1">
        <f t="shared" si="3"/>
        <v>1521</v>
      </c>
    </row>
    <row r="15" spans="1:9" x14ac:dyDescent="0.45">
      <c r="A15" s="5">
        <v>43497</v>
      </c>
      <c r="B15" s="1">
        <v>351</v>
      </c>
      <c r="C15" s="1">
        <f t="shared" si="0"/>
        <v>368</v>
      </c>
      <c r="D15" s="1">
        <f t="shared" si="1"/>
        <v>-17</v>
      </c>
      <c r="E15" s="1">
        <f t="shared" si="2"/>
        <v>17</v>
      </c>
      <c r="F15" s="1">
        <f t="shared" si="3"/>
        <v>289</v>
      </c>
    </row>
    <row r="16" spans="1:9" x14ac:dyDescent="0.45">
      <c r="A16" s="5">
        <v>43525</v>
      </c>
      <c r="B16" s="1">
        <v>350</v>
      </c>
      <c r="C16" s="1">
        <f t="shared" si="0"/>
        <v>352.33333333333331</v>
      </c>
      <c r="D16" s="1">
        <f t="shared" si="1"/>
        <v>-2.3333333333333144</v>
      </c>
      <c r="E16" s="1">
        <f t="shared" si="2"/>
        <v>2.3333333333333144</v>
      </c>
      <c r="F16" s="1">
        <f t="shared" si="3"/>
        <v>5.4444444444443558</v>
      </c>
    </row>
    <row r="17" spans="1:6" x14ac:dyDescent="0.45">
      <c r="A17" s="5">
        <v>43556</v>
      </c>
      <c r="B17" s="1">
        <v>355</v>
      </c>
      <c r="C17" s="1">
        <f t="shared" si="0"/>
        <v>350</v>
      </c>
      <c r="D17" s="1">
        <f t="shared" si="1"/>
        <v>5</v>
      </c>
      <c r="E17" s="1">
        <f t="shared" si="2"/>
        <v>5</v>
      </c>
      <c r="F17" s="1">
        <f t="shared" si="3"/>
        <v>25</v>
      </c>
    </row>
    <row r="18" spans="1:6" x14ac:dyDescent="0.45">
      <c r="A18" s="5">
        <v>43586</v>
      </c>
      <c r="B18" s="1">
        <v>346</v>
      </c>
      <c r="C18" s="1">
        <f t="shared" si="0"/>
        <v>352</v>
      </c>
      <c r="D18" s="1">
        <f t="shared" si="1"/>
        <v>-6</v>
      </c>
      <c r="E18" s="1">
        <f t="shared" si="2"/>
        <v>6</v>
      </c>
      <c r="F18" s="1">
        <f t="shared" si="3"/>
        <v>36</v>
      </c>
    </row>
    <row r="19" spans="1:6" x14ac:dyDescent="0.45">
      <c r="A19" s="5">
        <v>43617</v>
      </c>
      <c r="B19" s="1">
        <v>377</v>
      </c>
      <c r="C19" s="1">
        <f t="shared" si="0"/>
        <v>350.33333333333331</v>
      </c>
      <c r="D19" s="1">
        <f t="shared" si="1"/>
        <v>26.666666666666686</v>
      </c>
      <c r="E19" s="1">
        <f t="shared" si="2"/>
        <v>26.666666666666686</v>
      </c>
      <c r="F19" s="1">
        <f t="shared" si="3"/>
        <v>711.11111111111211</v>
      </c>
    </row>
    <row r="20" spans="1:6" x14ac:dyDescent="0.45">
      <c r="A20" s="5">
        <v>43647</v>
      </c>
      <c r="B20" s="1">
        <v>372</v>
      </c>
      <c r="C20" s="1">
        <f t="shared" si="0"/>
        <v>359.33333333333331</v>
      </c>
      <c r="D20" s="1">
        <f t="shared" si="1"/>
        <v>12.666666666666686</v>
      </c>
      <c r="E20" s="1">
        <f t="shared" si="2"/>
        <v>12.666666666666686</v>
      </c>
      <c r="F20" s="1">
        <f t="shared" si="3"/>
        <v>160.44444444444491</v>
      </c>
    </row>
    <row r="21" spans="1:6" x14ac:dyDescent="0.45">
      <c r="A21" s="5">
        <v>43678</v>
      </c>
      <c r="B21" s="1">
        <v>405</v>
      </c>
      <c r="C21" s="1">
        <f t="shared" si="0"/>
        <v>365</v>
      </c>
      <c r="D21" s="1">
        <f t="shared" si="1"/>
        <v>40</v>
      </c>
      <c r="E21" s="1">
        <f t="shared" si="2"/>
        <v>40</v>
      </c>
      <c r="F21" s="1">
        <f t="shared" si="3"/>
        <v>1600</v>
      </c>
    </row>
    <row r="22" spans="1:6" x14ac:dyDescent="0.45">
      <c r="A22" s="5">
        <v>43709</v>
      </c>
      <c r="B22" s="1">
        <v>416</v>
      </c>
      <c r="C22" s="1">
        <f t="shared" si="0"/>
        <v>384.66666666666669</v>
      </c>
      <c r="D22" s="1">
        <f t="shared" si="1"/>
        <v>31.333333333333314</v>
      </c>
      <c r="E22" s="1">
        <f t="shared" si="2"/>
        <v>31.333333333333314</v>
      </c>
      <c r="F22" s="1">
        <f t="shared" si="3"/>
        <v>981.77777777777658</v>
      </c>
    </row>
    <row r="23" spans="1:6" x14ac:dyDescent="0.45">
      <c r="A23" s="5">
        <v>43739</v>
      </c>
      <c r="B23" s="1">
        <v>407</v>
      </c>
      <c r="C23" s="1">
        <f t="shared" si="0"/>
        <v>397.66666666666669</v>
      </c>
      <c r="D23" s="1">
        <f t="shared" si="1"/>
        <v>9.3333333333333144</v>
      </c>
      <c r="E23" s="1">
        <f t="shared" si="2"/>
        <v>9.3333333333333144</v>
      </c>
      <c r="F23" s="1">
        <f t="shared" si="3"/>
        <v>87.111111111110759</v>
      </c>
    </row>
    <row r="24" spans="1:6" x14ac:dyDescent="0.45">
      <c r="A24" s="5">
        <v>43770</v>
      </c>
      <c r="B24" s="1">
        <v>399</v>
      </c>
      <c r="C24" s="1">
        <f t="shared" si="0"/>
        <v>409.33333333333331</v>
      </c>
      <c r="D24" s="1">
        <f t="shared" si="1"/>
        <v>-10.333333333333314</v>
      </c>
      <c r="E24" s="1">
        <f t="shared" si="2"/>
        <v>10.333333333333314</v>
      </c>
      <c r="F24" s="1">
        <f t="shared" si="3"/>
        <v>106.77777777777739</v>
      </c>
    </row>
    <row r="25" spans="1:6" x14ac:dyDescent="0.45">
      <c r="A25" s="5">
        <v>43800</v>
      </c>
      <c r="B25" s="1">
        <v>355</v>
      </c>
      <c r="C25" s="1">
        <f t="shared" si="0"/>
        <v>407.33333333333331</v>
      </c>
      <c r="D25" s="1">
        <f t="shared" si="1"/>
        <v>-52.333333333333314</v>
      </c>
      <c r="E25" s="1">
        <f t="shared" si="2"/>
        <v>52.333333333333314</v>
      </c>
      <c r="F25" s="1">
        <f t="shared" si="3"/>
        <v>2738.777777777776</v>
      </c>
    </row>
    <row r="26" spans="1:6" x14ac:dyDescent="0.45">
      <c r="A26" s="5">
        <v>43831</v>
      </c>
      <c r="B26" s="1">
        <v>347</v>
      </c>
      <c r="C26" s="1">
        <f t="shared" si="0"/>
        <v>387</v>
      </c>
      <c r="D26" s="1">
        <f t="shared" si="1"/>
        <v>-40</v>
      </c>
      <c r="E26" s="1">
        <f t="shared" si="2"/>
        <v>40</v>
      </c>
      <c r="F26" s="1">
        <f t="shared" si="3"/>
        <v>1600</v>
      </c>
    </row>
    <row r="27" spans="1:6" x14ac:dyDescent="0.45">
      <c r="A27" s="5">
        <v>43862</v>
      </c>
      <c r="B27" s="1">
        <v>351</v>
      </c>
      <c r="C27" s="1">
        <f t="shared" si="0"/>
        <v>367</v>
      </c>
      <c r="D27" s="1">
        <f t="shared" si="1"/>
        <v>-16</v>
      </c>
      <c r="E27" s="1">
        <f t="shared" si="2"/>
        <v>16</v>
      </c>
      <c r="F27" s="1">
        <f t="shared" si="3"/>
        <v>256</v>
      </c>
    </row>
    <row r="28" spans="1:6" x14ac:dyDescent="0.45">
      <c r="A28" s="5">
        <v>43891</v>
      </c>
      <c r="B28" s="1">
        <v>350</v>
      </c>
      <c r="C28" s="1">
        <f t="shared" si="0"/>
        <v>351</v>
      </c>
      <c r="D28" s="1">
        <f t="shared" si="1"/>
        <v>-1</v>
      </c>
      <c r="E28" s="1">
        <f t="shared" si="2"/>
        <v>1</v>
      </c>
      <c r="F28" s="1">
        <f t="shared" si="3"/>
        <v>1</v>
      </c>
    </row>
    <row r="29" spans="1:6" x14ac:dyDescent="0.45">
      <c r="A29" s="5">
        <v>43922</v>
      </c>
      <c r="B29" s="1">
        <v>352</v>
      </c>
      <c r="C29" s="1">
        <f t="shared" si="0"/>
        <v>349.33333333333331</v>
      </c>
      <c r="D29" s="1">
        <f t="shared" si="1"/>
        <v>2.6666666666666856</v>
      </c>
      <c r="E29" s="1">
        <f t="shared" si="2"/>
        <v>2.6666666666666856</v>
      </c>
      <c r="F29" s="1">
        <f t="shared" si="3"/>
        <v>7.111111111111212</v>
      </c>
    </row>
    <row r="30" spans="1:6" x14ac:dyDescent="0.45">
      <c r="A30" s="5">
        <v>43952</v>
      </c>
      <c r="B30" s="1">
        <v>343</v>
      </c>
      <c r="C30" s="1">
        <f t="shared" si="0"/>
        <v>351</v>
      </c>
      <c r="D30" s="1">
        <f t="shared" si="1"/>
        <v>-8</v>
      </c>
      <c r="E30" s="1">
        <f t="shared" si="2"/>
        <v>8</v>
      </c>
      <c r="F30" s="1">
        <f t="shared" si="3"/>
        <v>64</v>
      </c>
    </row>
    <row r="31" spans="1:6" x14ac:dyDescent="0.45">
      <c r="A31" s="5">
        <v>43983</v>
      </c>
      <c r="B31" s="1">
        <v>374</v>
      </c>
      <c r="C31" s="1">
        <f t="shared" si="0"/>
        <v>348.33333333333331</v>
      </c>
      <c r="D31" s="1">
        <f t="shared" si="1"/>
        <v>25.666666666666686</v>
      </c>
      <c r="E31" s="1">
        <f t="shared" si="2"/>
        <v>25.666666666666686</v>
      </c>
      <c r="F31" s="1">
        <f t="shared" si="3"/>
        <v>658.77777777777874</v>
      </c>
    </row>
    <row r="32" spans="1:6" x14ac:dyDescent="0.45">
      <c r="A32" s="5">
        <v>44013</v>
      </c>
      <c r="B32" s="1">
        <v>375</v>
      </c>
      <c r="C32" s="1">
        <f t="shared" si="0"/>
        <v>356.33333333333331</v>
      </c>
      <c r="D32" s="1">
        <f t="shared" si="1"/>
        <v>18.666666666666686</v>
      </c>
      <c r="E32" s="1">
        <f t="shared" si="2"/>
        <v>18.666666666666686</v>
      </c>
      <c r="F32" s="1">
        <f t="shared" si="3"/>
        <v>348.44444444444514</v>
      </c>
    </row>
    <row r="33" spans="1:6" x14ac:dyDescent="0.45">
      <c r="A33" s="5">
        <v>44044</v>
      </c>
      <c r="B33" s="1">
        <v>408</v>
      </c>
      <c r="C33" s="1">
        <f t="shared" si="0"/>
        <v>364</v>
      </c>
      <c r="D33" s="1">
        <f t="shared" si="1"/>
        <v>44</v>
      </c>
      <c r="E33" s="1">
        <f t="shared" si="2"/>
        <v>44</v>
      </c>
      <c r="F33" s="1">
        <f t="shared" si="3"/>
        <v>1936</v>
      </c>
    </row>
    <row r="34" spans="1:6" x14ac:dyDescent="0.45">
      <c r="A34" s="5">
        <v>44075</v>
      </c>
      <c r="B34" s="1">
        <v>412</v>
      </c>
      <c r="C34" s="1">
        <f t="shared" si="0"/>
        <v>385.66666666666669</v>
      </c>
      <c r="D34" s="1">
        <f t="shared" si="1"/>
        <v>26.333333333333314</v>
      </c>
      <c r="E34" s="1">
        <f t="shared" si="2"/>
        <v>26.333333333333314</v>
      </c>
      <c r="F34" s="1">
        <f t="shared" si="3"/>
        <v>693.44444444444343</v>
      </c>
    </row>
    <row r="35" spans="1:6" x14ac:dyDescent="0.45">
      <c r="A35" s="5">
        <v>44105</v>
      </c>
      <c r="B35" s="1">
        <v>410</v>
      </c>
      <c r="C35" s="1">
        <f t="shared" si="0"/>
        <v>398.33333333333331</v>
      </c>
      <c r="D35" s="1">
        <f t="shared" si="1"/>
        <v>11.666666666666686</v>
      </c>
      <c r="E35" s="1">
        <f t="shared" si="2"/>
        <v>11.666666666666686</v>
      </c>
      <c r="F35" s="1">
        <f t="shared" si="3"/>
        <v>136.11111111111154</v>
      </c>
    </row>
    <row r="36" spans="1:6" x14ac:dyDescent="0.45">
      <c r="A36" s="5">
        <v>44136</v>
      </c>
      <c r="B36" s="1">
        <v>400</v>
      </c>
      <c r="C36" s="1">
        <f t="shared" si="0"/>
        <v>410</v>
      </c>
      <c r="D36" s="1">
        <f t="shared" si="1"/>
        <v>-10</v>
      </c>
      <c r="E36" s="1">
        <f t="shared" si="2"/>
        <v>10</v>
      </c>
      <c r="F36" s="1">
        <f t="shared" si="3"/>
        <v>100</v>
      </c>
    </row>
    <row r="37" spans="1:6" x14ac:dyDescent="0.45">
      <c r="A37" s="5">
        <v>44166</v>
      </c>
      <c r="B37" s="1">
        <v>357</v>
      </c>
      <c r="C37" s="1">
        <f t="shared" si="0"/>
        <v>407.33333333333331</v>
      </c>
      <c r="D37" s="1">
        <f t="shared" si="1"/>
        <v>-50.333333333333314</v>
      </c>
      <c r="E37" s="1">
        <f t="shared" si="2"/>
        <v>50.333333333333314</v>
      </c>
      <c r="F37" s="1">
        <f t="shared" si="3"/>
        <v>2533.4444444444425</v>
      </c>
    </row>
    <row r="38" spans="1:6" x14ac:dyDescent="0.45">
      <c r="A38" s="5">
        <v>44197</v>
      </c>
      <c r="C38" s="1">
        <f t="shared" si="0"/>
        <v>389</v>
      </c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"/>
  <sheetViews>
    <sheetView workbookViewId="0"/>
  </sheetViews>
  <sheetFormatPr defaultColWidth="30.73046875" defaultRowHeight="14.25" x14ac:dyDescent="0.45"/>
  <cols>
    <col min="1" max="1" width="30.73046875" style="4"/>
    <col min="2" max="16384" width="30.73046875" style="3"/>
  </cols>
  <sheetData>
    <row r="1" spans="1:20" x14ac:dyDescent="0.45">
      <c r="A1" s="4" t="s">
        <v>10</v>
      </c>
      <c r="B1" s="3" t="s">
        <v>40</v>
      </c>
      <c r="C1" s="3" t="s">
        <v>1</v>
      </c>
      <c r="D1" s="3">
        <v>7</v>
      </c>
      <c r="E1" s="3" t="s">
        <v>2</v>
      </c>
      <c r="F1" s="3">
        <v>0</v>
      </c>
      <c r="G1" s="3" t="s">
        <v>3</v>
      </c>
      <c r="H1" s="3">
        <v>0</v>
      </c>
      <c r="I1" s="3" t="s">
        <v>4</v>
      </c>
      <c r="J1" s="3">
        <v>1</v>
      </c>
      <c r="K1" s="3" t="s">
        <v>5</v>
      </c>
      <c r="L1" s="3">
        <v>0</v>
      </c>
      <c r="M1" s="3" t="s">
        <v>6</v>
      </c>
      <c r="N1" s="3">
        <v>0</v>
      </c>
      <c r="O1" s="3" t="s">
        <v>7</v>
      </c>
      <c r="P1" s="3">
        <v>1</v>
      </c>
      <c r="Q1" s="3" t="s">
        <v>8</v>
      </c>
      <c r="R1" s="3">
        <v>0</v>
      </c>
      <c r="S1" s="3" t="s">
        <v>9</v>
      </c>
      <c r="T1" s="3">
        <v>0</v>
      </c>
    </row>
    <row r="2" spans="1:20" x14ac:dyDescent="0.45">
      <c r="A2" s="4" t="s">
        <v>11</v>
      </c>
      <c r="B2" s="3" t="s">
        <v>12</v>
      </c>
    </row>
    <row r="3" spans="1:20" x14ac:dyDescent="0.45">
      <c r="A3" s="4" t="s">
        <v>13</v>
      </c>
      <c r="B3" s="3" t="b">
        <f>IF(B10&gt;256,"TripUpST110AndEarlier",FALSE)</f>
        <v>0</v>
      </c>
    </row>
    <row r="4" spans="1:20" x14ac:dyDescent="0.45">
      <c r="A4" s="4" t="s">
        <v>14</v>
      </c>
      <c r="B4" s="3" t="s">
        <v>15</v>
      </c>
    </row>
    <row r="5" spans="1:20" x14ac:dyDescent="0.45">
      <c r="A5" s="4" t="s">
        <v>16</v>
      </c>
      <c r="B5" s="3" t="b">
        <v>1</v>
      </c>
    </row>
    <row r="6" spans="1:20" x14ac:dyDescent="0.45">
      <c r="A6" s="4" t="s">
        <v>17</v>
      </c>
      <c r="B6" s="3" t="b">
        <v>1</v>
      </c>
    </row>
    <row r="7" spans="1:20" x14ac:dyDescent="0.45">
      <c r="A7" s="4" t="s">
        <v>18</v>
      </c>
      <c r="B7" s="3">
        <f>AVERAGE!$A$1:$B$37</f>
        <v>377</v>
      </c>
    </row>
    <row r="8" spans="1:20" x14ac:dyDescent="0.45">
      <c r="A8" s="4" t="s">
        <v>19</v>
      </c>
      <c r="B8" s="3">
        <v>2</v>
      </c>
    </row>
    <row r="9" spans="1:20" x14ac:dyDescent="0.45">
      <c r="A9" s="4" t="s">
        <v>20</v>
      </c>
      <c r="B9" s="3">
        <f>1</f>
        <v>1</v>
      </c>
    </row>
    <row r="10" spans="1:20" x14ac:dyDescent="0.45">
      <c r="A10" s="4" t="s">
        <v>21</v>
      </c>
      <c r="B10" s="3">
        <v>3</v>
      </c>
    </row>
    <row r="12" spans="1:20" x14ac:dyDescent="0.45">
      <c r="A12" s="4" t="s">
        <v>22</v>
      </c>
      <c r="B12" s="3" t="s">
        <v>23</v>
      </c>
      <c r="C12" s="3" t="s">
        <v>24</v>
      </c>
      <c r="D12" s="3" t="s">
        <v>25</v>
      </c>
      <c r="E12" s="3" t="b">
        <v>1</v>
      </c>
      <c r="F12" s="3">
        <v>0</v>
      </c>
      <c r="G12" s="3">
        <v>4</v>
      </c>
      <c r="H12" s="3">
        <v>2</v>
      </c>
    </row>
    <row r="13" spans="1:20" x14ac:dyDescent="0.45">
      <c r="A13" s="4" t="s">
        <v>26</v>
      </c>
      <c r="B13" s="3">
        <f>AVERAGE!$A$1:$A$37</f>
        <v>43435</v>
      </c>
    </row>
    <row r="14" spans="1:20" x14ac:dyDescent="0.45">
      <c r="A14" s="4" t="s">
        <v>27</v>
      </c>
    </row>
    <row r="15" spans="1:20" x14ac:dyDescent="0.45">
      <c r="A15" s="4" t="s">
        <v>28</v>
      </c>
      <c r="B15" s="3" t="s">
        <v>29</v>
      </c>
      <c r="C15" s="3" t="s">
        <v>30</v>
      </c>
      <c r="D15" s="3" t="s">
        <v>31</v>
      </c>
      <c r="E15" s="3" t="b">
        <v>1</v>
      </c>
      <c r="F15" s="3">
        <v>0</v>
      </c>
      <c r="G15" s="3">
        <v>4</v>
      </c>
      <c r="H15" s="3">
        <v>2</v>
      </c>
    </row>
    <row r="16" spans="1:20" x14ac:dyDescent="0.45">
      <c r="A16" s="4" t="s">
        <v>32</v>
      </c>
      <c r="B16" s="3" t="e">
        <f>AVERAGE!#REF!</f>
        <v>#REF!</v>
      </c>
    </row>
    <row r="17" spans="1:8" x14ac:dyDescent="0.45">
      <c r="A17" s="4" t="s">
        <v>33</v>
      </c>
    </row>
    <row r="18" spans="1:8" x14ac:dyDescent="0.45">
      <c r="A18" s="4" t="s">
        <v>34</v>
      </c>
      <c r="B18" s="3" t="s">
        <v>35</v>
      </c>
      <c r="C18" s="3" t="s">
        <v>36</v>
      </c>
      <c r="D18" s="3" t="s">
        <v>37</v>
      </c>
      <c r="E18" s="3" t="b">
        <v>1</v>
      </c>
      <c r="F18" s="3">
        <v>0</v>
      </c>
      <c r="G18" s="3">
        <v>4</v>
      </c>
      <c r="H18" s="3">
        <v>2</v>
      </c>
    </row>
    <row r="19" spans="1:8" x14ac:dyDescent="0.45">
      <c r="A19" s="4" t="s">
        <v>38</v>
      </c>
      <c r="B19" s="3">
        <f>AVERAGE!$B$1:$B$37</f>
        <v>377</v>
      </c>
    </row>
    <row r="20" spans="1:8" x14ac:dyDescent="0.45">
      <c r="A20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NAIVE</vt:lpstr>
      <vt:lpstr>AVERAGE</vt:lpstr>
      <vt:lpstr>WEIGHTED AVERAGE - SPAN OF 5</vt:lpstr>
      <vt:lpstr>WEIGHTED AVERAGE - SPAN OF  3</vt:lpstr>
      <vt:lpstr>_STDS_DG119840E0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CJ Ford</cp:lastModifiedBy>
  <dcterms:created xsi:type="dcterms:W3CDTF">2007-05-15T19:30:02Z</dcterms:created>
  <dcterms:modified xsi:type="dcterms:W3CDTF">2026-02-02T18:54:43Z</dcterms:modified>
</cp:coreProperties>
</file>